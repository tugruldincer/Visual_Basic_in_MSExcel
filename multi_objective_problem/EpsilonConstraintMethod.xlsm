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2330" activeTab="3"/>
  </bookViews>
  <sheets>
    <sheet name="Student Info" sheetId="3" r:id="rId1"/>
    <sheet name="Sheet3" sheetId="5" state="hidden" r:id="rId2"/>
    <sheet name="Knapsack Problem" sheetId="1" r:id="rId3"/>
    <sheet name="Solution" sheetId="2" r:id="rId4"/>
  </sheets>
  <externalReferences>
    <externalReference r:id="rId5"/>
  </externalReferences>
  <definedNames>
    <definedName name="MatchesColumn">[1]Sets!$B$1:$B$288</definedName>
    <definedName name="solver_adj" localSheetId="3" hidden="1">Solution!$B$3:$Z$3</definedName>
    <definedName name="solver_eng" localSheetId="3" hidden="1">2</definedName>
    <definedName name="solver_lhs1" localSheetId="3" hidden="1">Solution!$AB$6</definedName>
    <definedName name="solver_lhs2" localSheetId="3" hidden="1">Solution!$B$3:$Z$3</definedName>
    <definedName name="solver_lhs3" localSheetId="3" hidden="1">Solution!$AB$7</definedName>
    <definedName name="solver_lhs4" localSheetId="3" hidden="1">Solution!$AB$8</definedName>
    <definedName name="solver_lhs5" localSheetId="3" hidden="1">Solution!$AB$9</definedName>
    <definedName name="solver_neg" localSheetId="3" hidden="1">1</definedName>
    <definedName name="solver_num" localSheetId="3" hidden="1">5</definedName>
    <definedName name="solver_opt" localSheetId="3" hidden="1">Solution!$A$12</definedName>
    <definedName name="solver_rel1" localSheetId="3" hidden="1">1</definedName>
    <definedName name="solver_rel2" localSheetId="3" hidden="1">4</definedName>
    <definedName name="solver_rel3" localSheetId="3" hidden="1">1</definedName>
    <definedName name="solver_rel4" localSheetId="3" hidden="1">1</definedName>
    <definedName name="solver_rel5" localSheetId="3" hidden="1">3</definedName>
    <definedName name="solver_rhs1" localSheetId="3" hidden="1">Solution!$AC$6</definedName>
    <definedName name="solver_rhs2" localSheetId="3" hidden="1">integer</definedName>
    <definedName name="solver_rhs3" localSheetId="3" hidden="1">Solution!$AC$7</definedName>
    <definedName name="solver_rhs4" localSheetId="3" hidden="1">Solution!$AC$8</definedName>
    <definedName name="solver_rhs5" localSheetId="3" hidden="1">Solution!$AC$9</definedName>
    <definedName name="solver_typ" localSheetId="3" hidden="1">1</definedName>
    <definedName name="solver_val" localSheetId="3" hidden="1">0</definedName>
    <definedName name="solver_ver" localSheetId="3" hidden="1">3</definedName>
    <definedName name="TieBreaks">[1]Sets!$C$1:$C$288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9" i="2" l="1"/>
  <c r="AB8" i="2"/>
  <c r="AB7" i="2"/>
  <c r="AB6" i="2"/>
  <c r="A12" i="2"/>
  <c r="G11" i="3" l="1"/>
  <c r="G7" i="3" l="1"/>
  <c r="AC7" i="1" l="1"/>
  <c r="AC6" i="1"/>
  <c r="AC5" i="1"/>
</calcChain>
</file>

<file path=xl/sharedStrings.xml><?xml version="1.0" encoding="utf-8"?>
<sst xmlns="http://schemas.openxmlformats.org/spreadsheetml/2006/main" count="546" uniqueCount="459">
  <si>
    <t>Objectives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</si>
  <si>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</si>
  <si>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</si>
  <si>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</si>
  <si>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</si>
  <si>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</si>
  <si>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</si>
  <si>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</si>
  <si>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</si>
  <si>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</si>
  <si>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</si>
  <si>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</si>
  <si>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</si>
  <si>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</si>
  <si>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</si>
  <si>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</si>
  <si>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</si>
  <si>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</si>
  <si>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</si>
  <si>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</si>
  <si>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</si>
  <si>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</si>
  <si>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</si>
  <si>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</si>
  <si>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</si>
  <si>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</si>
  <si>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Obj. 1</t>
  </si>
  <si>
    <t>Max</t>
  </si>
  <si>
    <t>Obj. 2</t>
  </si>
  <si>
    <t>subject to</t>
  </si>
  <si>
    <t>&lt;=</t>
  </si>
  <si>
    <t>Decision Variables</t>
  </si>
  <si>
    <t>Objective</t>
  </si>
  <si>
    <t>Main Objective</t>
  </si>
  <si>
    <t>s.to</t>
  </si>
  <si>
    <t>RHS Value</t>
  </si>
  <si>
    <t>Epsilon Value</t>
  </si>
  <si>
    <t>Nondominated Points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</si>
  <si>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</si>
  <si>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</si>
  <si>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</si>
  <si>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</si>
  <si>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</si>
  <si>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</si>
  <si>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</si>
  <si>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</si>
  <si>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</si>
  <si>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</si>
  <si>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</si>
  <si>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</si>
  <si>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</si>
  <si>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</si>
  <si>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</si>
  <si>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</si>
  <si>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</si>
  <si>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</si>
  <si>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</si>
  <si>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</si>
  <si>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</si>
  <si>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</si>
  <si>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</si>
  <si>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</si>
  <si>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Amount Used</t>
  </si>
  <si>
    <t>Y25</t>
  </si>
  <si>
    <t>Y26</t>
  </si>
  <si>
    <t>Y27</t>
  </si>
  <si>
    <t>Y28</t>
  </si>
  <si>
    <t>Y29</t>
  </si>
  <si>
    <t>Y30</t>
  </si>
  <si>
    <t>SOLUTION</t>
  </si>
  <si>
    <t>MODEL</t>
  </si>
  <si>
    <t>Value of DV at Current Iteration</t>
  </si>
  <si>
    <t>Student Name:</t>
  </si>
  <si>
    <t>e.g: e134317</t>
  </si>
  <si>
    <t>Student ID:</t>
  </si>
  <si>
    <t>2)</t>
  </si>
  <si>
    <t>1)</t>
  </si>
  <si>
    <t>Please use the dropdown arrow to choose your ID.</t>
  </si>
  <si>
    <t>zorba</t>
  </si>
  <si>
    <t>furkan</t>
  </si>
  <si>
    <t>e203273</t>
  </si>
  <si>
    <t>yoldas</t>
  </si>
  <si>
    <t>ismail</t>
  </si>
  <si>
    <t>e209583</t>
  </si>
  <si>
    <t>yilmaz</t>
  </si>
  <si>
    <t>ozen</t>
  </si>
  <si>
    <t>e209582</t>
  </si>
  <si>
    <t>yildirim</t>
  </si>
  <si>
    <t>utku</t>
  </si>
  <si>
    <t>e209581</t>
  </si>
  <si>
    <t>bayram arda</t>
  </si>
  <si>
    <t>e233016</t>
  </si>
  <si>
    <t>yigit</t>
  </si>
  <si>
    <t>ahmet</t>
  </si>
  <si>
    <t>e193885</t>
  </si>
  <si>
    <t>yentur</t>
  </si>
  <si>
    <t>esin</t>
  </si>
  <si>
    <t>e209579</t>
  </si>
  <si>
    <t>yaylioglu</t>
  </si>
  <si>
    <t>irem</t>
  </si>
  <si>
    <t>e209576</t>
  </si>
  <si>
    <t>yanikoglu</t>
  </si>
  <si>
    <t>kutay</t>
  </si>
  <si>
    <t>e203631</t>
  </si>
  <si>
    <t>yaman</t>
  </si>
  <si>
    <t>kerem</t>
  </si>
  <si>
    <t>e209575</t>
  </si>
  <si>
    <t>yalcinli</t>
  </si>
  <si>
    <t>ali emir</t>
  </si>
  <si>
    <t>e209574</t>
  </si>
  <si>
    <t>yagci</t>
  </si>
  <si>
    <t>huseyin semih</t>
  </si>
  <si>
    <t>e209578</t>
  </si>
  <si>
    <t>emre</t>
  </si>
  <si>
    <t>e226431</t>
  </si>
  <si>
    <t>yagbasan</t>
  </si>
  <si>
    <t>berktug</t>
  </si>
  <si>
    <t>e187810</t>
  </si>
  <si>
    <t>uzun</t>
  </si>
  <si>
    <t>muhammed salih</t>
  </si>
  <si>
    <t>e203156</t>
  </si>
  <si>
    <t>uysal</t>
  </si>
  <si>
    <t>ozde</t>
  </si>
  <si>
    <t>e203268</t>
  </si>
  <si>
    <t>usenbekov</t>
  </si>
  <si>
    <t>atabek</t>
  </si>
  <si>
    <t>e190675</t>
  </si>
  <si>
    <t>urganci</t>
  </si>
  <si>
    <t>cem</t>
  </si>
  <si>
    <t>e203266</t>
  </si>
  <si>
    <t>unluturk</t>
  </si>
  <si>
    <t>buse</t>
  </si>
  <si>
    <t>e216850</t>
  </si>
  <si>
    <t>unal</t>
  </si>
  <si>
    <t>samet</t>
  </si>
  <si>
    <t>e155714</t>
  </si>
  <si>
    <t>turkarslan</t>
  </si>
  <si>
    <t>ali</t>
  </si>
  <si>
    <t>e226426</t>
  </si>
  <si>
    <t>turedi</t>
  </si>
  <si>
    <t>yagiz</t>
  </si>
  <si>
    <t>e209571</t>
  </si>
  <si>
    <t>turan</t>
  </si>
  <si>
    <t>bilge</t>
  </si>
  <si>
    <t>e203265</t>
  </si>
  <si>
    <t>tunali</t>
  </si>
  <si>
    <t>ezgi</t>
  </si>
  <si>
    <t>e209569</t>
  </si>
  <si>
    <t>tolukan</t>
  </si>
  <si>
    <t>yasar semih</t>
  </si>
  <si>
    <t>e203262</t>
  </si>
  <si>
    <t>tazegul</t>
  </si>
  <si>
    <t>gizem deniz</t>
  </si>
  <si>
    <t>e216847</t>
  </si>
  <si>
    <t>tasdemir</t>
  </si>
  <si>
    <t>e209567</t>
  </si>
  <si>
    <t>tasci</t>
  </si>
  <si>
    <t>kibele su</t>
  </si>
  <si>
    <t>e203261</t>
  </si>
  <si>
    <t>tamer</t>
  </si>
  <si>
    <t>mehmet emre</t>
  </si>
  <si>
    <t>e209566</t>
  </si>
  <si>
    <t>sukur</t>
  </si>
  <si>
    <t>mustafa</t>
  </si>
  <si>
    <t>e207700</t>
  </si>
  <si>
    <t>sudagezer</t>
  </si>
  <si>
    <t>huseyin alperan</t>
  </si>
  <si>
    <t>e209565</t>
  </si>
  <si>
    <t>soydas</t>
  </si>
  <si>
    <t>rukiye</t>
  </si>
  <si>
    <t>e226421</t>
  </si>
  <si>
    <t>soydam</t>
  </si>
  <si>
    <t>mehmet</t>
  </si>
  <si>
    <t>e209564</t>
  </si>
  <si>
    <t>sezgul</t>
  </si>
  <si>
    <t>burak</t>
  </si>
  <si>
    <t>e226420</t>
  </si>
  <si>
    <t>sezgin</t>
  </si>
  <si>
    <t>caner</t>
  </si>
  <si>
    <t>e193267</t>
  </si>
  <si>
    <t>set</t>
  </si>
  <si>
    <t>selcuk</t>
  </si>
  <si>
    <t>e226419</t>
  </si>
  <si>
    <t>sengorur</t>
  </si>
  <si>
    <t>omer burak</t>
  </si>
  <si>
    <t>e209601</t>
  </si>
  <si>
    <t>sahin</t>
  </si>
  <si>
    <t>ozge</t>
  </si>
  <si>
    <t>e225752</t>
  </si>
  <si>
    <t>muhammet</t>
  </si>
  <si>
    <t>e209508</t>
  </si>
  <si>
    <t>poyraz</t>
  </si>
  <si>
    <t>dursen deniz</t>
  </si>
  <si>
    <t>e209560</t>
  </si>
  <si>
    <t>pekgoz</t>
  </si>
  <si>
    <t>nazim emre</t>
  </si>
  <si>
    <t>e226416</t>
  </si>
  <si>
    <t>ozturk</t>
  </si>
  <si>
    <t>safak</t>
  </si>
  <si>
    <t>e209593</t>
  </si>
  <si>
    <t>kadir</t>
  </si>
  <si>
    <t>e182215</t>
  </si>
  <si>
    <t>ozkan</t>
  </si>
  <si>
    <t>dilay</t>
  </si>
  <si>
    <t>e209591</t>
  </si>
  <si>
    <t>ozel</t>
  </si>
  <si>
    <t>armagan deniz</t>
  </si>
  <si>
    <t>e209589</t>
  </si>
  <si>
    <t>ozdemir</t>
  </si>
  <si>
    <t>salih</t>
  </si>
  <si>
    <t>e218072</t>
  </si>
  <si>
    <t>ozcetin</t>
  </si>
  <si>
    <t>ali kemal</t>
  </si>
  <si>
    <t>e187820</t>
  </si>
  <si>
    <t>ozcan</t>
  </si>
  <si>
    <t>heval gul</t>
  </si>
  <si>
    <t>e200285</t>
  </si>
  <si>
    <t>oktay</t>
  </si>
  <si>
    <t>zeynep beliz</t>
  </si>
  <si>
    <t>e209558</t>
  </si>
  <si>
    <t>ogut</t>
  </si>
  <si>
    <t>ibrahim halil</t>
  </si>
  <si>
    <t>e209594</t>
  </si>
  <si>
    <t>manav</t>
  </si>
  <si>
    <t>beril</t>
  </si>
  <si>
    <t>e203255</t>
  </si>
  <si>
    <t>kuslu</t>
  </si>
  <si>
    <t>umit</t>
  </si>
  <si>
    <t>e193865</t>
  </si>
  <si>
    <t>koza</t>
  </si>
  <si>
    <t>sadullah berk</t>
  </si>
  <si>
    <t>e209556</t>
  </si>
  <si>
    <t>koyuncu</t>
  </si>
  <si>
    <t>mustafa b</t>
  </si>
  <si>
    <t>e149762</t>
  </si>
  <si>
    <t>kisaer</t>
  </si>
  <si>
    <t>mustafa burak</t>
  </si>
  <si>
    <t>e203251</t>
  </si>
  <si>
    <t>kenar</t>
  </si>
  <si>
    <t>cigdem</t>
  </si>
  <si>
    <t>e209554</t>
  </si>
  <si>
    <t>kazancioglu</t>
  </si>
  <si>
    <t>deniz</t>
  </si>
  <si>
    <t>e209553</t>
  </si>
  <si>
    <t>kaygi</t>
  </si>
  <si>
    <t>gamze</t>
  </si>
  <si>
    <t>e203246</t>
  </si>
  <si>
    <t>kasapoglu</t>
  </si>
  <si>
    <t>ali osman</t>
  </si>
  <si>
    <t>e203243</t>
  </si>
  <si>
    <t>karatopan</t>
  </si>
  <si>
    <t>salih burak</t>
  </si>
  <si>
    <t>e203242</t>
  </si>
  <si>
    <t>karahaliloz</t>
  </si>
  <si>
    <t>vildan</t>
  </si>
  <si>
    <t>e209551</t>
  </si>
  <si>
    <t>karadeniz</t>
  </si>
  <si>
    <t>e203241</t>
  </si>
  <si>
    <t>karabacak</t>
  </si>
  <si>
    <t>tugce</t>
  </si>
  <si>
    <t>e203239</t>
  </si>
  <si>
    <t>kamaci</t>
  </si>
  <si>
    <t>aytac</t>
  </si>
  <si>
    <t>e194220</t>
  </si>
  <si>
    <t>iymen</t>
  </si>
  <si>
    <t>gokce</t>
  </si>
  <si>
    <t>e209597</t>
  </si>
  <si>
    <t>iyidemir</t>
  </si>
  <si>
    <t>mustafa serkan</t>
  </si>
  <si>
    <t>e209598</t>
  </si>
  <si>
    <t>is</t>
  </si>
  <si>
    <t>e203282</t>
  </si>
  <si>
    <t>ilhan</t>
  </si>
  <si>
    <t>ilke</t>
  </si>
  <si>
    <t>e203280</t>
  </si>
  <si>
    <t>huneroz</t>
  </si>
  <si>
    <t>mehmet can</t>
  </si>
  <si>
    <t>e193848</t>
  </si>
  <si>
    <t>helvaci</t>
  </si>
  <si>
    <t>huseyin</t>
  </si>
  <si>
    <t>e193847</t>
  </si>
  <si>
    <t>hafeez</t>
  </si>
  <si>
    <t>syed zaid asif</t>
  </si>
  <si>
    <t>e220967</t>
  </si>
  <si>
    <t>hacioglu</t>
  </si>
  <si>
    <t>firat</t>
  </si>
  <si>
    <t>e204190</t>
  </si>
  <si>
    <t>habaci</t>
  </si>
  <si>
    <t>fatih</t>
  </si>
  <si>
    <t>e209548</t>
  </si>
  <si>
    <t>gusan</t>
  </si>
  <si>
    <t>ozgur</t>
  </si>
  <si>
    <t>e209542</t>
  </si>
  <si>
    <t>gurel</t>
  </si>
  <si>
    <t>tarik</t>
  </si>
  <si>
    <t>e209547</t>
  </si>
  <si>
    <t>gunel</t>
  </si>
  <si>
    <t>anil</t>
  </si>
  <si>
    <t>e209545</t>
  </si>
  <si>
    <t>gunduz</t>
  </si>
  <si>
    <t>e209544</t>
  </si>
  <si>
    <t>gulsoy</t>
  </si>
  <si>
    <t>arda</t>
  </si>
  <si>
    <t>e218806</t>
  </si>
  <si>
    <t>gul</t>
  </si>
  <si>
    <t>yagmur</t>
  </si>
  <si>
    <t>e200404</t>
  </si>
  <si>
    <t>gokgoz</t>
  </si>
  <si>
    <t>burcu</t>
  </si>
  <si>
    <t>e209543</t>
  </si>
  <si>
    <t>gencer</t>
  </si>
  <si>
    <t>mehmet emin</t>
  </si>
  <si>
    <t>e209541</t>
  </si>
  <si>
    <t>genc</t>
  </si>
  <si>
    <t>volkan</t>
  </si>
  <si>
    <t>e190956</t>
  </si>
  <si>
    <t>gedik</t>
  </si>
  <si>
    <t>simge</t>
  </si>
  <si>
    <t>e209540</t>
  </si>
  <si>
    <t>geckil</t>
  </si>
  <si>
    <t>yahya ertugrul</t>
  </si>
  <si>
    <t>e203073</t>
  </si>
  <si>
    <t>fidan</t>
  </si>
  <si>
    <t>cantug</t>
  </si>
  <si>
    <t>e193844</t>
  </si>
  <si>
    <t>ficici</t>
  </si>
  <si>
    <t>eylul bulut</t>
  </si>
  <si>
    <t>e216812</t>
  </si>
  <si>
    <t>ferligul</t>
  </si>
  <si>
    <t>gizem</t>
  </si>
  <si>
    <t>e209539</t>
  </si>
  <si>
    <t>eser</t>
  </si>
  <si>
    <t>merve</t>
  </si>
  <si>
    <t>e209537</t>
  </si>
  <si>
    <t>ertugrul</t>
  </si>
  <si>
    <t>ali riza</t>
  </si>
  <si>
    <t>e193843</t>
  </si>
  <si>
    <t>ertem</t>
  </si>
  <si>
    <t>oguzhan</t>
  </si>
  <si>
    <t>e209536</t>
  </si>
  <si>
    <t>erol</t>
  </si>
  <si>
    <t>yaren</t>
  </si>
  <si>
    <t>e216810</t>
  </si>
  <si>
    <t>erdemir</t>
  </si>
  <si>
    <t>bartu</t>
  </si>
  <si>
    <t>e203224</t>
  </si>
  <si>
    <t>erbil</t>
  </si>
  <si>
    <t>e193841</t>
  </si>
  <si>
    <t>durak</t>
  </si>
  <si>
    <t>erdinc</t>
  </si>
  <si>
    <t>e193838</t>
  </si>
  <si>
    <t>dogan</t>
  </si>
  <si>
    <t>e209533</t>
  </si>
  <si>
    <t>ayse bengi</t>
  </si>
  <si>
    <t>e209532</t>
  </si>
  <si>
    <t>dincer</t>
  </si>
  <si>
    <t>suleyman tugrul</t>
  </si>
  <si>
    <t>e209535</t>
  </si>
  <si>
    <t>dilki</t>
  </si>
  <si>
    <t>sercan</t>
  </si>
  <si>
    <t>e203221</t>
  </si>
  <si>
    <t>demirkilinc</t>
  </si>
  <si>
    <t>dincer can</t>
  </si>
  <si>
    <t>e209531</t>
  </si>
  <si>
    <t>corek</t>
  </si>
  <si>
    <t>omer faruk</t>
  </si>
  <si>
    <t>e226403</t>
  </si>
  <si>
    <t>ciftlikci</t>
  </si>
  <si>
    <t>mehmet serhan</t>
  </si>
  <si>
    <t>e203180</t>
  </si>
  <si>
    <t>cetinli</t>
  </si>
  <si>
    <t>e226401</t>
  </si>
  <si>
    <t>cember</t>
  </si>
  <si>
    <t>yusuf inanc</t>
  </si>
  <si>
    <t>e201339</t>
  </si>
  <si>
    <t>caniklioglu</t>
  </si>
  <si>
    <t>mehmetcan</t>
  </si>
  <si>
    <t>e216796</t>
  </si>
  <si>
    <t>calici</t>
  </si>
  <si>
    <t>ardahan</t>
  </si>
  <si>
    <t>e203274</t>
  </si>
  <si>
    <t>cakan</t>
  </si>
  <si>
    <t>e226396</t>
  </si>
  <si>
    <t>butun</t>
  </si>
  <si>
    <t>yahya umut</t>
  </si>
  <si>
    <t>e203209</t>
  </si>
  <si>
    <t>besler</t>
  </si>
  <si>
    <t>erdem</t>
  </si>
  <si>
    <t>e193820</t>
  </si>
  <si>
    <t>bayarslan</t>
  </si>
  <si>
    <t>e216784</t>
  </si>
  <si>
    <t>basaran</t>
  </si>
  <si>
    <t>erdal</t>
  </si>
  <si>
    <t>e203206</t>
  </si>
  <si>
    <t>bas</t>
  </si>
  <si>
    <t>buket</t>
  </si>
  <si>
    <t>e209527</t>
  </si>
  <si>
    <t>baltaoglu</t>
  </si>
  <si>
    <t>e216779</t>
  </si>
  <si>
    <t>ballikaya</t>
  </si>
  <si>
    <t>e209526</t>
  </si>
  <si>
    <t>aydogmus</t>
  </si>
  <si>
    <t>kaan</t>
  </si>
  <si>
    <t>e209525</t>
  </si>
  <si>
    <t>aydogdu</t>
  </si>
  <si>
    <t>eray</t>
  </si>
  <si>
    <t>e209629</t>
  </si>
  <si>
    <t>aydin</t>
  </si>
  <si>
    <t>selen beril</t>
  </si>
  <si>
    <t>e203203</t>
  </si>
  <si>
    <t>bahadir</t>
  </si>
  <si>
    <t>e209524</t>
  </si>
  <si>
    <t>arslan</t>
  </si>
  <si>
    <t>mehmet zahid</t>
  </si>
  <si>
    <t>e203564</t>
  </si>
  <si>
    <t>ahmet furkan</t>
  </si>
  <si>
    <t>e209522</t>
  </si>
  <si>
    <t>arikan</t>
  </si>
  <si>
    <t>oguz numan</t>
  </si>
  <si>
    <t>e209521</t>
  </si>
  <si>
    <t>aras</t>
  </si>
  <si>
    <t>e203201</t>
  </si>
  <si>
    <t>apaydin</t>
  </si>
  <si>
    <t>elif</t>
  </si>
  <si>
    <t>e225753</t>
  </si>
  <si>
    <t>anilir</t>
  </si>
  <si>
    <t>efe</t>
  </si>
  <si>
    <t>e216774</t>
  </si>
  <si>
    <t>altunsaray</t>
  </si>
  <si>
    <t>murat</t>
  </si>
  <si>
    <t>e209520</t>
  </si>
  <si>
    <t>lali yusuf</t>
  </si>
  <si>
    <t>e210741</t>
  </si>
  <si>
    <t>aktas</t>
  </si>
  <si>
    <t>e209517</t>
  </si>
  <si>
    <t>akgun</t>
  </si>
  <si>
    <t>berk</t>
  </si>
  <si>
    <t>e203199</t>
  </si>
  <si>
    <t>akdogan</t>
  </si>
  <si>
    <t>onur</t>
  </si>
  <si>
    <t>e202999</t>
  </si>
  <si>
    <t>akcal</t>
  </si>
  <si>
    <t>ibrahim mehmet</t>
  </si>
  <si>
    <t>e216770</t>
  </si>
  <si>
    <t>acay</t>
  </si>
  <si>
    <t>ozgur serhat</t>
  </si>
  <si>
    <t>e203197</t>
  </si>
  <si>
    <t>abu mallooh</t>
  </si>
  <si>
    <t>basil</t>
  </si>
  <si>
    <t>e217716</t>
  </si>
  <si>
    <t>Last name</t>
  </si>
  <si>
    <t>First name</t>
  </si>
  <si>
    <t>Username</t>
  </si>
  <si>
    <t>e209580</t>
  </si>
  <si>
    <t>Constraint 1</t>
  </si>
  <si>
    <t>Constraint 2</t>
  </si>
  <si>
    <t>Constraint 3</t>
  </si>
  <si>
    <t>Constraint 4</t>
  </si>
  <si>
    <t>&gt;=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</si>
</sst>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2"/>
      <color theme="2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/>
    <xf numFmtId="0" fontId="1" fillId="2" borderId="5" xfId="0" applyFont="1" applyFill="1" applyBorder="1" applyAlignment="1">
      <alignment horizontal="center"/>
    </xf>
    <xf numFmtId="0" fontId="0" fillId="0" borderId="12" xfId="0" applyBorder="1"/>
    <xf numFmtId="0" fontId="0" fillId="0" borderId="10" xfId="0" applyBorder="1"/>
    <xf numFmtId="0" fontId="0" fillId="0" borderId="13" xfId="0" applyBorder="1"/>
    <xf numFmtId="0" fontId="0" fillId="5" borderId="17" xfId="0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5" borderId="16" xfId="0" applyFill="1" applyBorder="1" applyAlignment="1">
      <alignment horizontal="left" vertical="center"/>
    </xf>
    <xf numFmtId="0" fontId="4" fillId="0" borderId="0" xfId="0" applyFont="1"/>
    <xf numFmtId="49" fontId="5" fillId="0" borderId="0" xfId="0" applyNumberFormat="1" applyFont="1"/>
    <xf numFmtId="49" fontId="5" fillId="0" borderId="0" xfId="1" applyNumberFormat="1" applyFont="1"/>
    <xf numFmtId="0" fontId="0" fillId="0" borderId="16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4" borderId="16" xfId="0" applyFill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0" borderId="16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zli%20Dolu\Desktop\Tennis%20Data%20(Autosaved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s"/>
      <sheetName val="Trainers"/>
      <sheetName val="Umpires"/>
      <sheetName val="Matches"/>
      <sheetName val="Sets"/>
      <sheetName val="Games"/>
      <sheetName val="Countries"/>
      <sheetName val="Data"/>
      <sheetName val="Q1"/>
      <sheetName val="Q2"/>
      <sheetName val="Q3"/>
      <sheetName val="Q4"/>
      <sheetName val="Dashboard"/>
      <sheetName val="Q5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 t="str">
            <v>Match ID</v>
          </cell>
          <cell r="C1" t="str">
            <v>Tiebreak</v>
          </cell>
        </row>
        <row r="2">
          <cell r="B2">
            <v>160118001</v>
          </cell>
          <cell r="C2" t="str">
            <v>NO</v>
          </cell>
        </row>
        <row r="3">
          <cell r="B3">
            <v>160118001</v>
          </cell>
          <cell r="C3" t="str">
            <v>YES</v>
          </cell>
        </row>
        <row r="4">
          <cell r="B4">
            <v>160118001</v>
          </cell>
          <cell r="C4" t="str">
            <v>NO</v>
          </cell>
        </row>
        <row r="5">
          <cell r="B5">
            <v>160118002</v>
          </cell>
          <cell r="C5" t="str">
            <v>YES</v>
          </cell>
        </row>
        <row r="6">
          <cell r="B6">
            <v>160118002</v>
          </cell>
          <cell r="C6" t="str">
            <v>NO</v>
          </cell>
        </row>
        <row r="7">
          <cell r="B7">
            <v>160118003</v>
          </cell>
          <cell r="C7" t="str">
            <v>NO</v>
          </cell>
        </row>
        <row r="8">
          <cell r="B8">
            <v>160118003</v>
          </cell>
          <cell r="C8" t="str">
            <v>NO</v>
          </cell>
        </row>
        <row r="9">
          <cell r="B9">
            <v>160118004</v>
          </cell>
          <cell r="C9" t="str">
            <v>YES</v>
          </cell>
        </row>
        <row r="10">
          <cell r="B10">
            <v>160118004</v>
          </cell>
          <cell r="C10" t="str">
            <v>NO</v>
          </cell>
        </row>
        <row r="11">
          <cell r="B11">
            <v>160118005</v>
          </cell>
          <cell r="C11" t="str">
            <v>YES</v>
          </cell>
        </row>
        <row r="12">
          <cell r="B12">
            <v>160118005</v>
          </cell>
          <cell r="C12" t="str">
            <v>NO</v>
          </cell>
        </row>
        <row r="13">
          <cell r="B13">
            <v>160118005</v>
          </cell>
          <cell r="C13" t="str">
            <v>NO</v>
          </cell>
        </row>
        <row r="14">
          <cell r="B14">
            <v>160118006</v>
          </cell>
          <cell r="C14" t="str">
            <v>NO</v>
          </cell>
        </row>
        <row r="15">
          <cell r="B15">
            <v>160118006</v>
          </cell>
          <cell r="C15" t="str">
            <v>NO</v>
          </cell>
        </row>
        <row r="16">
          <cell r="B16">
            <v>160118006</v>
          </cell>
          <cell r="C16" t="str">
            <v>NO</v>
          </cell>
        </row>
        <row r="17">
          <cell r="B17">
            <v>160118007</v>
          </cell>
          <cell r="C17" t="str">
            <v>NO</v>
          </cell>
        </row>
        <row r="18">
          <cell r="B18">
            <v>160118007</v>
          </cell>
          <cell r="C18" t="str">
            <v>NO</v>
          </cell>
        </row>
        <row r="19">
          <cell r="B19">
            <v>160118007</v>
          </cell>
          <cell r="C19" t="str">
            <v>YES</v>
          </cell>
        </row>
        <row r="20">
          <cell r="B20">
            <v>160118008</v>
          </cell>
          <cell r="C20" t="str">
            <v>NO</v>
          </cell>
        </row>
        <row r="21">
          <cell r="B21">
            <v>160118008</v>
          </cell>
          <cell r="C21" t="str">
            <v>NO</v>
          </cell>
        </row>
        <row r="22">
          <cell r="B22">
            <v>160118008</v>
          </cell>
          <cell r="C22" t="str">
            <v>NO</v>
          </cell>
        </row>
        <row r="23">
          <cell r="B23">
            <v>160118009</v>
          </cell>
          <cell r="C23" t="str">
            <v>NO</v>
          </cell>
        </row>
        <row r="24">
          <cell r="B24">
            <v>160118009</v>
          </cell>
          <cell r="C24" t="str">
            <v>YES</v>
          </cell>
        </row>
        <row r="25">
          <cell r="B25">
            <v>160118010</v>
          </cell>
          <cell r="C25" t="str">
            <v>NO</v>
          </cell>
        </row>
        <row r="26">
          <cell r="B26">
            <v>160118010</v>
          </cell>
          <cell r="C26" t="str">
            <v>YES</v>
          </cell>
        </row>
        <row r="27">
          <cell r="B27">
            <v>160118010</v>
          </cell>
          <cell r="C27" t="str">
            <v>NO</v>
          </cell>
        </row>
        <row r="28">
          <cell r="B28">
            <v>160118011</v>
          </cell>
          <cell r="C28" t="str">
            <v>NO</v>
          </cell>
        </row>
        <row r="29">
          <cell r="B29">
            <v>160118011</v>
          </cell>
          <cell r="C29" t="str">
            <v>NO</v>
          </cell>
        </row>
        <row r="30">
          <cell r="B30">
            <v>160118012</v>
          </cell>
          <cell r="C30" t="str">
            <v>NO</v>
          </cell>
        </row>
        <row r="31">
          <cell r="B31">
            <v>160118012</v>
          </cell>
          <cell r="C31" t="str">
            <v>NO</v>
          </cell>
        </row>
        <row r="32">
          <cell r="B32">
            <v>160118012</v>
          </cell>
          <cell r="C32" t="str">
            <v>NO</v>
          </cell>
        </row>
        <row r="33">
          <cell r="B33">
            <v>160118013</v>
          </cell>
          <cell r="C33" t="str">
            <v>NO</v>
          </cell>
        </row>
        <row r="34">
          <cell r="B34">
            <v>160118013</v>
          </cell>
          <cell r="C34" t="str">
            <v>NO</v>
          </cell>
        </row>
        <row r="35">
          <cell r="B35">
            <v>160118014</v>
          </cell>
          <cell r="C35" t="str">
            <v>NO</v>
          </cell>
        </row>
        <row r="36">
          <cell r="B36">
            <v>160118014</v>
          </cell>
          <cell r="C36" t="str">
            <v>NO</v>
          </cell>
        </row>
        <row r="37">
          <cell r="B37">
            <v>160118015</v>
          </cell>
          <cell r="C37" t="str">
            <v>YES</v>
          </cell>
        </row>
        <row r="38">
          <cell r="B38">
            <v>160118015</v>
          </cell>
          <cell r="C38" t="str">
            <v>NO</v>
          </cell>
        </row>
        <row r="39">
          <cell r="B39">
            <v>160118016</v>
          </cell>
          <cell r="C39" t="str">
            <v>NO</v>
          </cell>
        </row>
        <row r="40">
          <cell r="B40">
            <v>160118016</v>
          </cell>
          <cell r="C40" t="str">
            <v>YES</v>
          </cell>
        </row>
        <row r="41">
          <cell r="B41">
            <v>160118016</v>
          </cell>
          <cell r="C41" t="str">
            <v>NO</v>
          </cell>
        </row>
        <row r="42">
          <cell r="B42">
            <v>160118017</v>
          </cell>
          <cell r="C42" t="str">
            <v>NO</v>
          </cell>
        </row>
        <row r="43">
          <cell r="B43">
            <v>160118017</v>
          </cell>
          <cell r="C43" t="str">
            <v>NO</v>
          </cell>
        </row>
        <row r="44">
          <cell r="B44">
            <v>160118018</v>
          </cell>
          <cell r="C44" t="str">
            <v>NO</v>
          </cell>
        </row>
        <row r="45">
          <cell r="B45">
            <v>160118018</v>
          </cell>
          <cell r="C45" t="str">
            <v>NO</v>
          </cell>
        </row>
        <row r="46">
          <cell r="B46">
            <v>160118019</v>
          </cell>
          <cell r="C46" t="str">
            <v>NO</v>
          </cell>
        </row>
        <row r="47">
          <cell r="B47">
            <v>160118019</v>
          </cell>
          <cell r="C47" t="str">
            <v>NO</v>
          </cell>
        </row>
        <row r="48">
          <cell r="B48">
            <v>160118020</v>
          </cell>
          <cell r="C48" t="str">
            <v>NO</v>
          </cell>
        </row>
        <row r="49">
          <cell r="B49">
            <v>160118020</v>
          </cell>
          <cell r="C49" t="str">
            <v>NO</v>
          </cell>
        </row>
        <row r="50">
          <cell r="B50">
            <v>160118021</v>
          </cell>
          <cell r="C50" t="str">
            <v>NO</v>
          </cell>
        </row>
        <row r="51">
          <cell r="B51">
            <v>160118021</v>
          </cell>
          <cell r="C51" t="str">
            <v>NO</v>
          </cell>
        </row>
        <row r="52">
          <cell r="B52">
            <v>160118022</v>
          </cell>
          <cell r="C52" t="str">
            <v>NO</v>
          </cell>
        </row>
        <row r="53">
          <cell r="B53">
            <v>160118022</v>
          </cell>
          <cell r="C53" t="str">
            <v>NO</v>
          </cell>
        </row>
        <row r="54">
          <cell r="B54">
            <v>160118022</v>
          </cell>
          <cell r="C54" t="str">
            <v>NO</v>
          </cell>
        </row>
        <row r="55">
          <cell r="B55">
            <v>160118023</v>
          </cell>
          <cell r="C55" t="str">
            <v>NO</v>
          </cell>
        </row>
        <row r="56">
          <cell r="B56">
            <v>160118023</v>
          </cell>
          <cell r="C56" t="str">
            <v>YES</v>
          </cell>
        </row>
        <row r="57">
          <cell r="B57">
            <v>160118024</v>
          </cell>
          <cell r="C57" t="str">
            <v>YES</v>
          </cell>
        </row>
        <row r="58">
          <cell r="B58">
            <v>160118024</v>
          </cell>
          <cell r="C58" t="str">
            <v>NO</v>
          </cell>
        </row>
        <row r="59">
          <cell r="B59">
            <v>160118025</v>
          </cell>
          <cell r="C59" t="str">
            <v>NO</v>
          </cell>
        </row>
        <row r="60">
          <cell r="B60">
            <v>160118025</v>
          </cell>
          <cell r="C60" t="str">
            <v>NO</v>
          </cell>
        </row>
        <row r="61">
          <cell r="B61">
            <v>160118026</v>
          </cell>
          <cell r="C61" t="str">
            <v>NO</v>
          </cell>
        </row>
        <row r="62">
          <cell r="B62">
            <v>160118026</v>
          </cell>
          <cell r="C62" t="str">
            <v>NO</v>
          </cell>
        </row>
        <row r="63">
          <cell r="B63">
            <v>160118027</v>
          </cell>
          <cell r="C63" t="str">
            <v>NO</v>
          </cell>
        </row>
        <row r="64">
          <cell r="B64">
            <v>160118027</v>
          </cell>
          <cell r="C64" t="str">
            <v>NO</v>
          </cell>
        </row>
        <row r="65">
          <cell r="B65">
            <v>160118027</v>
          </cell>
          <cell r="C65" t="str">
            <v>NO</v>
          </cell>
        </row>
        <row r="66">
          <cell r="B66">
            <v>160118028</v>
          </cell>
          <cell r="C66" t="str">
            <v>YES</v>
          </cell>
        </row>
        <row r="67">
          <cell r="B67">
            <v>160118028</v>
          </cell>
          <cell r="C67" t="str">
            <v>YES</v>
          </cell>
        </row>
        <row r="68">
          <cell r="B68">
            <v>160118028</v>
          </cell>
          <cell r="C68" t="str">
            <v>YES</v>
          </cell>
        </row>
        <row r="69">
          <cell r="B69">
            <v>160118029</v>
          </cell>
          <cell r="C69" t="str">
            <v>NO</v>
          </cell>
        </row>
        <row r="70">
          <cell r="B70">
            <v>160118029</v>
          </cell>
          <cell r="C70" t="str">
            <v>NO</v>
          </cell>
        </row>
        <row r="71">
          <cell r="B71">
            <v>160118030</v>
          </cell>
          <cell r="C71" t="str">
            <v>NO</v>
          </cell>
        </row>
        <row r="72">
          <cell r="B72">
            <v>160118030</v>
          </cell>
          <cell r="C72" t="str">
            <v>NO</v>
          </cell>
        </row>
        <row r="73">
          <cell r="B73">
            <v>160118031</v>
          </cell>
          <cell r="C73" t="str">
            <v>YES</v>
          </cell>
        </row>
        <row r="74">
          <cell r="B74">
            <v>160118031</v>
          </cell>
          <cell r="C74" t="str">
            <v>NO</v>
          </cell>
        </row>
        <row r="75">
          <cell r="B75">
            <v>160118032</v>
          </cell>
          <cell r="C75" t="str">
            <v>NO</v>
          </cell>
        </row>
        <row r="76">
          <cell r="B76">
            <v>160118032</v>
          </cell>
          <cell r="C76" t="str">
            <v>YES</v>
          </cell>
        </row>
        <row r="77">
          <cell r="B77">
            <v>160119001</v>
          </cell>
          <cell r="C77" t="str">
            <v>NO</v>
          </cell>
        </row>
        <row r="78">
          <cell r="B78">
            <v>160119001</v>
          </cell>
          <cell r="C78" t="str">
            <v>NO</v>
          </cell>
        </row>
        <row r="79">
          <cell r="B79">
            <v>160119002</v>
          </cell>
          <cell r="C79" t="str">
            <v>YES</v>
          </cell>
        </row>
        <row r="80">
          <cell r="B80">
            <v>160119002</v>
          </cell>
          <cell r="C80" t="str">
            <v>NO</v>
          </cell>
        </row>
        <row r="81">
          <cell r="B81">
            <v>160119003</v>
          </cell>
          <cell r="C81" t="str">
            <v>NO</v>
          </cell>
        </row>
        <row r="82">
          <cell r="B82">
            <v>160119003</v>
          </cell>
          <cell r="C82" t="str">
            <v>NO</v>
          </cell>
        </row>
        <row r="83">
          <cell r="B83">
            <v>160119004</v>
          </cell>
          <cell r="C83" t="str">
            <v>NO</v>
          </cell>
        </row>
        <row r="84">
          <cell r="B84">
            <v>160119004</v>
          </cell>
          <cell r="C84" t="str">
            <v>NO</v>
          </cell>
        </row>
        <row r="85">
          <cell r="B85">
            <v>160119005</v>
          </cell>
          <cell r="C85" t="str">
            <v>NO</v>
          </cell>
        </row>
        <row r="86">
          <cell r="B86">
            <v>160119005</v>
          </cell>
          <cell r="C86" t="str">
            <v>YES</v>
          </cell>
        </row>
        <row r="87">
          <cell r="B87">
            <v>160119005</v>
          </cell>
          <cell r="C87" t="str">
            <v>NO</v>
          </cell>
        </row>
        <row r="88">
          <cell r="B88">
            <v>160119006</v>
          </cell>
          <cell r="C88" t="str">
            <v>YES</v>
          </cell>
        </row>
        <row r="89">
          <cell r="B89">
            <v>160119006</v>
          </cell>
          <cell r="C89" t="str">
            <v>NO</v>
          </cell>
        </row>
        <row r="90">
          <cell r="B90">
            <v>160119006</v>
          </cell>
          <cell r="C90" t="str">
            <v>YES</v>
          </cell>
        </row>
        <row r="91">
          <cell r="B91">
            <v>160119007</v>
          </cell>
          <cell r="C91" t="str">
            <v>NO</v>
          </cell>
        </row>
        <row r="92">
          <cell r="B92">
            <v>160119007</v>
          </cell>
          <cell r="C92" t="str">
            <v>YES</v>
          </cell>
        </row>
        <row r="93">
          <cell r="B93">
            <v>160119008</v>
          </cell>
          <cell r="C93" t="str">
            <v>NO</v>
          </cell>
        </row>
        <row r="94">
          <cell r="B94">
            <v>160119008</v>
          </cell>
          <cell r="C94" t="str">
            <v>YES</v>
          </cell>
        </row>
        <row r="95">
          <cell r="B95">
            <v>160119009</v>
          </cell>
          <cell r="C95" t="str">
            <v>NO</v>
          </cell>
        </row>
        <row r="96">
          <cell r="B96">
            <v>160119009</v>
          </cell>
          <cell r="C96" t="str">
            <v>NO</v>
          </cell>
        </row>
        <row r="97">
          <cell r="B97">
            <v>160119010</v>
          </cell>
          <cell r="C97" t="str">
            <v>NO</v>
          </cell>
        </row>
        <row r="98">
          <cell r="B98">
            <v>160119010</v>
          </cell>
          <cell r="C98" t="str">
            <v>NO</v>
          </cell>
        </row>
        <row r="99">
          <cell r="B99">
            <v>160119011</v>
          </cell>
          <cell r="C99" t="str">
            <v>NO</v>
          </cell>
        </row>
        <row r="100">
          <cell r="B100">
            <v>160119011</v>
          </cell>
          <cell r="C100" t="str">
            <v>NO</v>
          </cell>
        </row>
        <row r="101">
          <cell r="B101">
            <v>160119012</v>
          </cell>
          <cell r="C101" t="str">
            <v>NO</v>
          </cell>
        </row>
        <row r="102">
          <cell r="B102">
            <v>160119012</v>
          </cell>
          <cell r="C102" t="str">
            <v>NO</v>
          </cell>
        </row>
        <row r="103">
          <cell r="B103">
            <v>160119013</v>
          </cell>
          <cell r="C103" t="str">
            <v>NO</v>
          </cell>
        </row>
        <row r="104">
          <cell r="B104">
            <v>160119013</v>
          </cell>
          <cell r="C104" t="str">
            <v>NO</v>
          </cell>
        </row>
        <row r="105">
          <cell r="B105">
            <v>160119014</v>
          </cell>
          <cell r="C105" t="str">
            <v>NO</v>
          </cell>
        </row>
        <row r="106">
          <cell r="B106">
            <v>160119014</v>
          </cell>
          <cell r="C106" t="str">
            <v>NO</v>
          </cell>
        </row>
        <row r="107">
          <cell r="B107">
            <v>160119015</v>
          </cell>
          <cell r="C107" t="str">
            <v>NO</v>
          </cell>
        </row>
        <row r="108">
          <cell r="B108">
            <v>160119015</v>
          </cell>
          <cell r="C108" t="str">
            <v>NO</v>
          </cell>
        </row>
        <row r="109">
          <cell r="B109">
            <v>160119016</v>
          </cell>
          <cell r="C109" t="str">
            <v>YES</v>
          </cell>
        </row>
        <row r="110">
          <cell r="B110">
            <v>160119016</v>
          </cell>
          <cell r="C110" t="str">
            <v>NO</v>
          </cell>
        </row>
        <row r="111">
          <cell r="B111">
            <v>160119016</v>
          </cell>
          <cell r="C111" t="str">
            <v>NO</v>
          </cell>
        </row>
        <row r="112">
          <cell r="B112">
            <v>160119017</v>
          </cell>
          <cell r="C112" t="str">
            <v>NO</v>
          </cell>
        </row>
        <row r="113">
          <cell r="B113">
            <v>160119017</v>
          </cell>
          <cell r="C113" t="str">
            <v>NO</v>
          </cell>
        </row>
        <row r="114">
          <cell r="B114">
            <v>160119018</v>
          </cell>
          <cell r="C114" t="str">
            <v>NO</v>
          </cell>
        </row>
        <row r="115">
          <cell r="B115">
            <v>160119018</v>
          </cell>
          <cell r="C115" t="str">
            <v>NO</v>
          </cell>
        </row>
        <row r="116">
          <cell r="B116">
            <v>160119019</v>
          </cell>
          <cell r="C116" t="str">
            <v>NO</v>
          </cell>
        </row>
        <row r="117">
          <cell r="B117">
            <v>160119019</v>
          </cell>
          <cell r="C117" t="str">
            <v>NO</v>
          </cell>
        </row>
        <row r="118">
          <cell r="B118">
            <v>160119020</v>
          </cell>
          <cell r="C118" t="str">
            <v>NO</v>
          </cell>
        </row>
        <row r="119">
          <cell r="B119">
            <v>160119020</v>
          </cell>
          <cell r="C119" t="str">
            <v>NO</v>
          </cell>
        </row>
        <row r="120">
          <cell r="B120">
            <v>160119021</v>
          </cell>
          <cell r="C120" t="str">
            <v>NO</v>
          </cell>
        </row>
        <row r="121">
          <cell r="B121">
            <v>160119021</v>
          </cell>
          <cell r="C121" t="str">
            <v>NO</v>
          </cell>
        </row>
        <row r="122">
          <cell r="B122">
            <v>160119022</v>
          </cell>
          <cell r="C122" t="str">
            <v>YES</v>
          </cell>
        </row>
        <row r="123">
          <cell r="B123">
            <v>160119022</v>
          </cell>
          <cell r="C123" t="str">
            <v>YES</v>
          </cell>
        </row>
        <row r="124">
          <cell r="B124">
            <v>160119022</v>
          </cell>
          <cell r="C124" t="str">
            <v>NO</v>
          </cell>
        </row>
        <row r="125">
          <cell r="B125">
            <v>160119023</v>
          </cell>
          <cell r="C125" t="str">
            <v>NO</v>
          </cell>
        </row>
        <row r="126">
          <cell r="B126">
            <v>160119023</v>
          </cell>
          <cell r="C126" t="str">
            <v>NO</v>
          </cell>
        </row>
        <row r="127">
          <cell r="B127">
            <v>160119024</v>
          </cell>
          <cell r="C127" t="str">
            <v>NO</v>
          </cell>
        </row>
        <row r="128">
          <cell r="B128">
            <v>160119024</v>
          </cell>
          <cell r="C128" t="str">
            <v>NO</v>
          </cell>
        </row>
        <row r="129">
          <cell r="B129">
            <v>160119025</v>
          </cell>
          <cell r="C129" t="str">
            <v>YES</v>
          </cell>
        </row>
        <row r="130">
          <cell r="B130">
            <v>160119025</v>
          </cell>
          <cell r="C130" t="str">
            <v>NO</v>
          </cell>
        </row>
        <row r="131">
          <cell r="B131">
            <v>160119025</v>
          </cell>
          <cell r="C131" t="str">
            <v>NO</v>
          </cell>
        </row>
        <row r="132">
          <cell r="B132">
            <v>160119026</v>
          </cell>
          <cell r="C132" t="str">
            <v>NO</v>
          </cell>
        </row>
        <row r="133">
          <cell r="B133">
            <v>160119026</v>
          </cell>
          <cell r="C133" t="str">
            <v>NO</v>
          </cell>
        </row>
        <row r="134">
          <cell r="B134">
            <v>160119027</v>
          </cell>
          <cell r="C134" t="str">
            <v>NO</v>
          </cell>
        </row>
        <row r="135">
          <cell r="B135">
            <v>160119027</v>
          </cell>
          <cell r="C135" t="str">
            <v>YES</v>
          </cell>
        </row>
        <row r="136">
          <cell r="B136">
            <v>160119027</v>
          </cell>
          <cell r="C136" t="str">
            <v>NO</v>
          </cell>
        </row>
        <row r="137">
          <cell r="B137">
            <v>160119028</v>
          </cell>
          <cell r="C137" t="str">
            <v>NO</v>
          </cell>
        </row>
        <row r="138">
          <cell r="B138">
            <v>160119028</v>
          </cell>
          <cell r="C138" t="str">
            <v>NO</v>
          </cell>
        </row>
        <row r="139">
          <cell r="B139">
            <v>160119029</v>
          </cell>
          <cell r="C139" t="str">
            <v>NO</v>
          </cell>
        </row>
        <row r="140">
          <cell r="B140">
            <v>160119029</v>
          </cell>
          <cell r="C140" t="str">
            <v>NO</v>
          </cell>
        </row>
        <row r="141">
          <cell r="B141">
            <v>160119030</v>
          </cell>
          <cell r="C141" t="str">
            <v>NO</v>
          </cell>
        </row>
        <row r="142">
          <cell r="B142">
            <v>160119030</v>
          </cell>
          <cell r="C142" t="str">
            <v>NO</v>
          </cell>
        </row>
        <row r="143">
          <cell r="B143">
            <v>160119031</v>
          </cell>
          <cell r="C143" t="str">
            <v>NO</v>
          </cell>
        </row>
        <row r="144">
          <cell r="B144">
            <v>160119031</v>
          </cell>
          <cell r="C144" t="str">
            <v>NO</v>
          </cell>
        </row>
        <row r="145">
          <cell r="B145">
            <v>160119032</v>
          </cell>
          <cell r="C145" t="str">
            <v>NO</v>
          </cell>
        </row>
        <row r="146">
          <cell r="B146">
            <v>160119032</v>
          </cell>
          <cell r="C146" t="str">
            <v>NO</v>
          </cell>
        </row>
        <row r="147">
          <cell r="B147">
            <v>160120001</v>
          </cell>
          <cell r="C147" t="str">
            <v>NO</v>
          </cell>
        </row>
        <row r="148">
          <cell r="B148">
            <v>160120001</v>
          </cell>
          <cell r="C148" t="str">
            <v>YES</v>
          </cell>
        </row>
        <row r="149">
          <cell r="B149">
            <v>160120002</v>
          </cell>
          <cell r="C149" t="str">
            <v>NO</v>
          </cell>
        </row>
        <row r="150">
          <cell r="B150">
            <v>160120002</v>
          </cell>
          <cell r="C150" t="str">
            <v>NO</v>
          </cell>
        </row>
        <row r="151">
          <cell r="B151">
            <v>160120003</v>
          </cell>
          <cell r="C151" t="str">
            <v>YES</v>
          </cell>
        </row>
        <row r="152">
          <cell r="B152">
            <v>160120004</v>
          </cell>
          <cell r="C152" t="str">
            <v>NO</v>
          </cell>
        </row>
        <row r="153">
          <cell r="B153">
            <v>160120004</v>
          </cell>
          <cell r="C153" t="str">
            <v>NO</v>
          </cell>
        </row>
        <row r="154">
          <cell r="B154">
            <v>160120005</v>
          </cell>
          <cell r="C154" t="str">
            <v>NO</v>
          </cell>
        </row>
        <row r="155">
          <cell r="B155">
            <v>160120005</v>
          </cell>
          <cell r="C155" t="str">
            <v>NO</v>
          </cell>
        </row>
        <row r="156">
          <cell r="B156">
            <v>160120006</v>
          </cell>
          <cell r="C156" t="str">
            <v>NO</v>
          </cell>
        </row>
        <row r="157">
          <cell r="B157">
            <v>160120006</v>
          </cell>
          <cell r="C157" t="str">
            <v>NO</v>
          </cell>
        </row>
        <row r="158">
          <cell r="B158">
            <v>160120007</v>
          </cell>
          <cell r="C158" t="str">
            <v>NO</v>
          </cell>
        </row>
        <row r="159">
          <cell r="B159">
            <v>160120007</v>
          </cell>
          <cell r="C159" t="str">
            <v>NO</v>
          </cell>
        </row>
        <row r="160">
          <cell r="B160">
            <v>160120008</v>
          </cell>
          <cell r="C160" t="str">
            <v>NO</v>
          </cell>
        </row>
        <row r="161">
          <cell r="B161">
            <v>160120008</v>
          </cell>
          <cell r="C161" t="str">
            <v>NO</v>
          </cell>
        </row>
        <row r="162">
          <cell r="B162">
            <v>160120009</v>
          </cell>
          <cell r="C162" t="str">
            <v>YES</v>
          </cell>
        </row>
        <row r="163">
          <cell r="B163">
            <v>160120009</v>
          </cell>
          <cell r="C163" t="str">
            <v>NO</v>
          </cell>
        </row>
        <row r="164">
          <cell r="B164">
            <v>160120009</v>
          </cell>
          <cell r="C164" t="str">
            <v>NO</v>
          </cell>
        </row>
        <row r="165">
          <cell r="B165">
            <v>160120010</v>
          </cell>
          <cell r="C165" t="str">
            <v>NO</v>
          </cell>
        </row>
        <row r="166">
          <cell r="B166">
            <v>160120010</v>
          </cell>
          <cell r="C166" t="str">
            <v>NO</v>
          </cell>
        </row>
        <row r="167">
          <cell r="B167">
            <v>160120011</v>
          </cell>
          <cell r="C167" t="str">
            <v>NO</v>
          </cell>
        </row>
        <row r="168">
          <cell r="B168">
            <v>160120011</v>
          </cell>
          <cell r="C168" t="str">
            <v>NO</v>
          </cell>
        </row>
        <row r="169">
          <cell r="B169">
            <v>160120012</v>
          </cell>
          <cell r="C169" t="str">
            <v>NO</v>
          </cell>
        </row>
        <row r="170">
          <cell r="B170">
            <v>160120012</v>
          </cell>
          <cell r="C170" t="str">
            <v>NO</v>
          </cell>
        </row>
        <row r="171">
          <cell r="B171">
            <v>160120012</v>
          </cell>
          <cell r="C171" t="str">
            <v>NO</v>
          </cell>
        </row>
        <row r="172">
          <cell r="B172">
            <v>160120013</v>
          </cell>
          <cell r="C172" t="str">
            <v>NO</v>
          </cell>
        </row>
        <row r="173">
          <cell r="B173">
            <v>160120013</v>
          </cell>
          <cell r="C173" t="str">
            <v>YES</v>
          </cell>
        </row>
        <row r="174">
          <cell r="B174">
            <v>160120014</v>
          </cell>
          <cell r="C174" t="str">
            <v>NO</v>
          </cell>
        </row>
        <row r="175">
          <cell r="B175">
            <v>160120014</v>
          </cell>
          <cell r="C175" t="str">
            <v>NO</v>
          </cell>
        </row>
        <row r="176">
          <cell r="B176">
            <v>160120015</v>
          </cell>
          <cell r="C176" t="str">
            <v>NO</v>
          </cell>
        </row>
        <row r="177">
          <cell r="B177">
            <v>160120015</v>
          </cell>
          <cell r="C177" t="str">
            <v>YES</v>
          </cell>
        </row>
        <row r="178">
          <cell r="B178">
            <v>160120015</v>
          </cell>
          <cell r="C178" t="str">
            <v>YES</v>
          </cell>
        </row>
        <row r="179">
          <cell r="B179">
            <v>160120016</v>
          </cell>
          <cell r="C179" t="str">
            <v>NO</v>
          </cell>
        </row>
        <row r="180">
          <cell r="B180">
            <v>160120016</v>
          </cell>
          <cell r="C180" t="str">
            <v>NO</v>
          </cell>
        </row>
        <row r="181">
          <cell r="B181">
            <v>160121001</v>
          </cell>
          <cell r="C181" t="str">
            <v>NO</v>
          </cell>
        </row>
        <row r="182">
          <cell r="B182">
            <v>160121001</v>
          </cell>
          <cell r="C182" t="str">
            <v>NO</v>
          </cell>
        </row>
        <row r="183">
          <cell r="B183">
            <v>160121002</v>
          </cell>
          <cell r="C183" t="str">
            <v>YES</v>
          </cell>
        </row>
        <row r="184">
          <cell r="B184">
            <v>160121002</v>
          </cell>
          <cell r="C184" t="str">
            <v>NO</v>
          </cell>
        </row>
        <row r="185">
          <cell r="B185">
            <v>160121003</v>
          </cell>
          <cell r="C185" t="str">
            <v>NO</v>
          </cell>
        </row>
        <row r="186">
          <cell r="B186">
            <v>160121003</v>
          </cell>
          <cell r="C186" t="str">
            <v>NO</v>
          </cell>
        </row>
        <row r="187">
          <cell r="B187">
            <v>160121004</v>
          </cell>
          <cell r="C187" t="str">
            <v>NO</v>
          </cell>
        </row>
        <row r="188">
          <cell r="B188">
            <v>160121004</v>
          </cell>
          <cell r="C188" t="str">
            <v>NO</v>
          </cell>
        </row>
        <row r="189">
          <cell r="B189">
            <v>160121005</v>
          </cell>
          <cell r="C189" t="str">
            <v>YES</v>
          </cell>
        </row>
        <row r="190">
          <cell r="B190">
            <v>160121005</v>
          </cell>
          <cell r="C190" t="str">
            <v>NO</v>
          </cell>
        </row>
        <row r="191">
          <cell r="B191">
            <v>160121006</v>
          </cell>
          <cell r="C191" t="str">
            <v>NO</v>
          </cell>
        </row>
        <row r="192">
          <cell r="B192">
            <v>160121006</v>
          </cell>
          <cell r="C192" t="str">
            <v>NO</v>
          </cell>
        </row>
        <row r="193">
          <cell r="B193">
            <v>160121007</v>
          </cell>
          <cell r="C193" t="str">
            <v>YES</v>
          </cell>
        </row>
        <row r="194">
          <cell r="B194">
            <v>160121007</v>
          </cell>
          <cell r="C194" t="str">
            <v>NO</v>
          </cell>
        </row>
        <row r="195">
          <cell r="B195">
            <v>160121007</v>
          </cell>
          <cell r="C195" t="str">
            <v>NO</v>
          </cell>
        </row>
        <row r="196">
          <cell r="B196">
            <v>160121008</v>
          </cell>
          <cell r="C196" t="str">
            <v>NO</v>
          </cell>
        </row>
        <row r="197">
          <cell r="B197">
            <v>160121008</v>
          </cell>
          <cell r="C197" t="str">
            <v>NO</v>
          </cell>
        </row>
        <row r="198">
          <cell r="B198">
            <v>160121009</v>
          </cell>
          <cell r="C198" t="str">
            <v>NO</v>
          </cell>
        </row>
        <row r="199">
          <cell r="B199">
            <v>160121009</v>
          </cell>
          <cell r="C199" t="str">
            <v>NO</v>
          </cell>
        </row>
        <row r="200">
          <cell r="B200">
            <v>160121009</v>
          </cell>
          <cell r="C200" t="str">
            <v>NO</v>
          </cell>
        </row>
        <row r="201">
          <cell r="B201">
            <v>160121010</v>
          </cell>
          <cell r="C201" t="str">
            <v>NO</v>
          </cell>
        </row>
        <row r="202">
          <cell r="B202">
            <v>160121010</v>
          </cell>
          <cell r="C202" t="str">
            <v>YES</v>
          </cell>
        </row>
        <row r="203">
          <cell r="B203">
            <v>160121010</v>
          </cell>
          <cell r="C203" t="str">
            <v>NO</v>
          </cell>
        </row>
        <row r="204">
          <cell r="B204">
            <v>160121011</v>
          </cell>
          <cell r="C204" t="str">
            <v>YES</v>
          </cell>
        </row>
        <row r="205">
          <cell r="B205">
            <v>160121011</v>
          </cell>
          <cell r="C205" t="str">
            <v>NO</v>
          </cell>
        </row>
        <row r="206">
          <cell r="B206">
            <v>160121011</v>
          </cell>
          <cell r="C206" t="str">
            <v>NO</v>
          </cell>
        </row>
        <row r="207">
          <cell r="B207">
            <v>160121012</v>
          </cell>
          <cell r="C207" t="str">
            <v>NO</v>
          </cell>
        </row>
        <row r="208">
          <cell r="B208">
            <v>160121012</v>
          </cell>
          <cell r="C208" t="str">
            <v>NO</v>
          </cell>
        </row>
        <row r="209">
          <cell r="B209">
            <v>160121013</v>
          </cell>
          <cell r="C209" t="str">
            <v>NO</v>
          </cell>
        </row>
        <row r="210">
          <cell r="B210">
            <v>160121013</v>
          </cell>
          <cell r="C210" t="str">
            <v>NO</v>
          </cell>
        </row>
        <row r="211">
          <cell r="B211">
            <v>160121014</v>
          </cell>
          <cell r="C211" t="str">
            <v>NO</v>
          </cell>
        </row>
        <row r="212">
          <cell r="B212">
            <v>160121014</v>
          </cell>
          <cell r="C212" t="str">
            <v>NO</v>
          </cell>
        </row>
        <row r="213">
          <cell r="B213">
            <v>160121015</v>
          </cell>
          <cell r="C213" t="str">
            <v>NO</v>
          </cell>
        </row>
        <row r="214">
          <cell r="B214">
            <v>160121015</v>
          </cell>
          <cell r="C214" t="str">
            <v>NO</v>
          </cell>
        </row>
        <row r="215">
          <cell r="B215">
            <v>160121016</v>
          </cell>
          <cell r="C215" t="str">
            <v>YES</v>
          </cell>
        </row>
        <row r="216">
          <cell r="B216">
            <v>160121016</v>
          </cell>
          <cell r="C216" t="str">
            <v>NO</v>
          </cell>
        </row>
        <row r="217">
          <cell r="B217">
            <v>160122001</v>
          </cell>
          <cell r="C217" t="str">
            <v>NO</v>
          </cell>
        </row>
        <row r="218">
          <cell r="B218">
            <v>160122001</v>
          </cell>
          <cell r="C218" t="str">
            <v>NO</v>
          </cell>
        </row>
        <row r="219">
          <cell r="B219">
            <v>160122001</v>
          </cell>
          <cell r="C219" t="str">
            <v>NO</v>
          </cell>
        </row>
        <row r="220">
          <cell r="B220">
            <v>160122002</v>
          </cell>
          <cell r="C220" t="str">
            <v>NO</v>
          </cell>
        </row>
        <row r="221">
          <cell r="B221">
            <v>160122002</v>
          </cell>
          <cell r="C221" t="str">
            <v>YES</v>
          </cell>
        </row>
        <row r="222">
          <cell r="B222">
            <v>160122002</v>
          </cell>
          <cell r="C222" t="str">
            <v>NO</v>
          </cell>
        </row>
        <row r="223">
          <cell r="B223">
            <v>160122003</v>
          </cell>
          <cell r="C223" t="str">
            <v>NO</v>
          </cell>
        </row>
        <row r="224">
          <cell r="B224">
            <v>160122003</v>
          </cell>
          <cell r="C224" t="str">
            <v>NO</v>
          </cell>
        </row>
        <row r="225">
          <cell r="B225">
            <v>160122003</v>
          </cell>
          <cell r="C225" t="str">
            <v>NO</v>
          </cell>
        </row>
        <row r="226">
          <cell r="B226">
            <v>160122004</v>
          </cell>
          <cell r="C226" t="str">
            <v>NO</v>
          </cell>
        </row>
        <row r="227">
          <cell r="B227">
            <v>160122004</v>
          </cell>
          <cell r="C227" t="str">
            <v>NO</v>
          </cell>
        </row>
        <row r="228">
          <cell r="B228">
            <v>160122005</v>
          </cell>
          <cell r="C228" t="str">
            <v>NO</v>
          </cell>
        </row>
        <row r="229">
          <cell r="B229">
            <v>160122005</v>
          </cell>
          <cell r="C229" t="str">
            <v>NO</v>
          </cell>
        </row>
        <row r="230">
          <cell r="B230">
            <v>160122006</v>
          </cell>
          <cell r="C230" t="str">
            <v>NO</v>
          </cell>
        </row>
        <row r="231">
          <cell r="B231">
            <v>160122006</v>
          </cell>
          <cell r="C231" t="str">
            <v>NO</v>
          </cell>
        </row>
        <row r="232">
          <cell r="B232">
            <v>160122006</v>
          </cell>
          <cell r="C232" t="str">
            <v>NO</v>
          </cell>
        </row>
        <row r="233">
          <cell r="B233">
            <v>160122007</v>
          </cell>
          <cell r="C233" t="str">
            <v>NO</v>
          </cell>
        </row>
        <row r="234">
          <cell r="B234">
            <v>160122007</v>
          </cell>
          <cell r="C234" t="str">
            <v>NO</v>
          </cell>
        </row>
        <row r="235">
          <cell r="B235">
            <v>160122008</v>
          </cell>
          <cell r="C235" t="str">
            <v>NO</v>
          </cell>
        </row>
        <row r="236">
          <cell r="B236">
            <v>160122008</v>
          </cell>
          <cell r="C236" t="str">
            <v>NO</v>
          </cell>
        </row>
        <row r="237">
          <cell r="B237">
            <v>160123001</v>
          </cell>
          <cell r="C237" t="str">
            <v>NO</v>
          </cell>
        </row>
        <row r="238">
          <cell r="B238">
            <v>160123001</v>
          </cell>
          <cell r="C238" t="str">
            <v>NO</v>
          </cell>
        </row>
        <row r="239">
          <cell r="B239">
            <v>160123002</v>
          </cell>
          <cell r="C239" t="str">
            <v>NO</v>
          </cell>
        </row>
        <row r="240">
          <cell r="B240">
            <v>160123002</v>
          </cell>
          <cell r="C240" t="str">
            <v>NO</v>
          </cell>
        </row>
        <row r="241">
          <cell r="B241">
            <v>160123003</v>
          </cell>
          <cell r="C241" t="str">
            <v>NO</v>
          </cell>
        </row>
        <row r="242">
          <cell r="B242">
            <v>160123003</v>
          </cell>
          <cell r="C242" t="str">
            <v>NO</v>
          </cell>
        </row>
        <row r="243">
          <cell r="B243">
            <v>160123004</v>
          </cell>
          <cell r="C243" t="str">
            <v>NO</v>
          </cell>
        </row>
        <row r="244">
          <cell r="B244">
            <v>160123004</v>
          </cell>
          <cell r="C244" t="str">
            <v>NO</v>
          </cell>
        </row>
        <row r="245">
          <cell r="B245">
            <v>160123005</v>
          </cell>
          <cell r="C245" t="str">
            <v>NO</v>
          </cell>
        </row>
        <row r="246">
          <cell r="B246">
            <v>160123005</v>
          </cell>
          <cell r="C246" t="str">
            <v>NO</v>
          </cell>
        </row>
        <row r="247">
          <cell r="B247">
            <v>160123006</v>
          </cell>
          <cell r="C247" t="str">
            <v>NO</v>
          </cell>
        </row>
        <row r="248">
          <cell r="B248">
            <v>160123006</v>
          </cell>
          <cell r="C248" t="str">
            <v>NO</v>
          </cell>
        </row>
        <row r="249">
          <cell r="B249">
            <v>160123007</v>
          </cell>
          <cell r="C249" t="str">
            <v>NO</v>
          </cell>
        </row>
        <row r="250">
          <cell r="B250">
            <v>160123007</v>
          </cell>
          <cell r="C250" t="str">
            <v>NO</v>
          </cell>
        </row>
        <row r="251">
          <cell r="B251">
            <v>160123007</v>
          </cell>
          <cell r="C251" t="str">
            <v>NO</v>
          </cell>
        </row>
        <row r="252">
          <cell r="B252">
            <v>160123008</v>
          </cell>
          <cell r="C252" t="str">
            <v>NO</v>
          </cell>
        </row>
        <row r="253">
          <cell r="B253">
            <v>160123008</v>
          </cell>
          <cell r="C253" t="str">
            <v>NO</v>
          </cell>
        </row>
        <row r="254">
          <cell r="B254">
            <v>160124001</v>
          </cell>
          <cell r="C254" t="str">
            <v>YES</v>
          </cell>
        </row>
        <row r="255">
          <cell r="B255">
            <v>160124001</v>
          </cell>
          <cell r="C255" t="str">
            <v>YES</v>
          </cell>
        </row>
        <row r="256">
          <cell r="B256">
            <v>160124002</v>
          </cell>
          <cell r="C256" t="str">
            <v>NO</v>
          </cell>
        </row>
        <row r="257">
          <cell r="B257">
            <v>160124002</v>
          </cell>
          <cell r="C257" t="str">
            <v>NO</v>
          </cell>
        </row>
        <row r="258">
          <cell r="B258">
            <v>160124003</v>
          </cell>
          <cell r="C258" t="str">
            <v>YES</v>
          </cell>
        </row>
        <row r="259">
          <cell r="B259">
            <v>160124003</v>
          </cell>
          <cell r="C259" t="str">
            <v>NO</v>
          </cell>
        </row>
        <row r="260">
          <cell r="B260">
            <v>160124003</v>
          </cell>
          <cell r="C260" t="str">
            <v>YES</v>
          </cell>
        </row>
        <row r="261">
          <cell r="B261">
            <v>160124004</v>
          </cell>
          <cell r="C261" t="str">
            <v>NO</v>
          </cell>
        </row>
        <row r="262">
          <cell r="B262">
            <v>160124004</v>
          </cell>
          <cell r="C262" t="str">
            <v>NO</v>
          </cell>
        </row>
        <row r="263">
          <cell r="B263">
            <v>160124004</v>
          </cell>
          <cell r="C263" t="str">
            <v>NO</v>
          </cell>
        </row>
        <row r="264">
          <cell r="B264">
            <v>160125001</v>
          </cell>
          <cell r="C264" t="str">
            <v>NO</v>
          </cell>
        </row>
        <row r="265">
          <cell r="B265">
            <v>160125001</v>
          </cell>
          <cell r="C265" t="str">
            <v>NO</v>
          </cell>
        </row>
        <row r="266">
          <cell r="B266">
            <v>160125002</v>
          </cell>
          <cell r="C266" t="str">
            <v>NO</v>
          </cell>
        </row>
        <row r="267">
          <cell r="B267">
            <v>160125002</v>
          </cell>
          <cell r="C267" t="str">
            <v>NO</v>
          </cell>
        </row>
        <row r="268">
          <cell r="B268">
            <v>160125003</v>
          </cell>
          <cell r="C268" t="str">
            <v>NO</v>
          </cell>
        </row>
        <row r="269">
          <cell r="B269">
            <v>160125003</v>
          </cell>
          <cell r="C269" t="str">
            <v>NO</v>
          </cell>
        </row>
        <row r="270">
          <cell r="B270">
            <v>160125003</v>
          </cell>
          <cell r="C270" t="str">
            <v>NO</v>
          </cell>
        </row>
        <row r="271">
          <cell r="B271">
            <v>160125004</v>
          </cell>
          <cell r="C271" t="str">
            <v>NO</v>
          </cell>
        </row>
        <row r="272">
          <cell r="B272">
            <v>160125004</v>
          </cell>
          <cell r="C272" t="str">
            <v>NO</v>
          </cell>
        </row>
        <row r="273">
          <cell r="B273">
            <v>160125004</v>
          </cell>
          <cell r="C273" t="str">
            <v>NO</v>
          </cell>
        </row>
        <row r="274">
          <cell r="B274">
            <v>160126001</v>
          </cell>
          <cell r="C274" t="str">
            <v>NO</v>
          </cell>
        </row>
        <row r="275">
          <cell r="B275">
            <v>160126001</v>
          </cell>
          <cell r="C275" t="str">
            <v>NO</v>
          </cell>
        </row>
        <row r="276">
          <cell r="B276">
            <v>160126002</v>
          </cell>
          <cell r="C276" t="str">
            <v>NO</v>
          </cell>
        </row>
        <row r="277">
          <cell r="B277">
            <v>160126002</v>
          </cell>
          <cell r="C277" t="str">
            <v>NO</v>
          </cell>
        </row>
        <row r="278">
          <cell r="B278">
            <v>160127001</v>
          </cell>
          <cell r="C278" t="str">
            <v>NO</v>
          </cell>
        </row>
        <row r="279">
          <cell r="B279">
            <v>160127001</v>
          </cell>
          <cell r="C279" t="str">
            <v>YES</v>
          </cell>
        </row>
        <row r="280">
          <cell r="B280">
            <v>160127002</v>
          </cell>
          <cell r="C280" t="str">
            <v>NO</v>
          </cell>
        </row>
        <row r="281">
          <cell r="B281">
            <v>160127002</v>
          </cell>
          <cell r="C281" t="str">
            <v>NO</v>
          </cell>
        </row>
        <row r="282">
          <cell r="B282">
            <v>160128001</v>
          </cell>
          <cell r="C282" t="str">
            <v>NO</v>
          </cell>
        </row>
        <row r="283">
          <cell r="B283">
            <v>160128001</v>
          </cell>
          <cell r="C283" t="str">
            <v>NO</v>
          </cell>
        </row>
        <row r="284">
          <cell r="B284">
            <v>160128002</v>
          </cell>
          <cell r="C284" t="str">
            <v>YES</v>
          </cell>
        </row>
        <row r="285">
          <cell r="B285">
            <v>160128002</v>
          </cell>
          <cell r="C285" t="str">
            <v>NO</v>
          </cell>
        </row>
        <row r="286">
          <cell r="B286">
            <v>160130001</v>
          </cell>
          <cell r="C286" t="str">
            <v>NO</v>
          </cell>
        </row>
        <row r="287">
          <cell r="B287">
            <v>160130001</v>
          </cell>
          <cell r="C287" t="str">
            <v>NO</v>
          </cell>
        </row>
        <row r="288">
          <cell r="B288">
            <v>160130001</v>
          </cell>
          <cell r="C288" t="str">
            <v>NO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3:L11"/>
  <sheetViews>
    <sheetView showGridLines="0" topLeftCell="E1" workbookViewId="0">
      <selection activeCell="I19" sqref="I19"/>
    </sheetView>
  </sheetViews>
  <sheetFormatPr defaultRowHeight="15" x14ac:dyDescent="0.25"/>
  <cols>
    <col min="6" max="6" width="21.5703125" customWidth="1"/>
  </cols>
  <sheetData>
    <row r="3" spans="5:12" x14ac:dyDescent="0.25">
      <c r="F3" s="45" t="s">
        <v>77</v>
      </c>
      <c r="G3" s="45"/>
      <c r="H3" s="45"/>
      <c r="I3" s="45"/>
      <c r="J3" s="45"/>
      <c r="K3" s="45"/>
    </row>
    <row r="5" spans="5:12" ht="15.75" thickBot="1" x14ac:dyDescent="0.3"/>
    <row r="6" spans="5:12" ht="30" customHeight="1" thickBot="1" x14ac:dyDescent="0.4">
      <c r="E6" s="33" t="s">
        <v>76</v>
      </c>
      <c r="F6" s="32" t="s">
        <v>74</v>
      </c>
      <c r="G6" s="36" t="s">
        <v>357</v>
      </c>
      <c r="H6" s="37"/>
      <c r="I6" s="37"/>
      <c r="J6" s="37"/>
      <c r="K6" s="38"/>
      <c r="L6" s="31" t="s">
        <v>73</v>
      </c>
    </row>
    <row r="7" spans="5:12" ht="30" customHeight="1" thickBot="1" x14ac:dyDescent="0.3">
      <c r="F7" s="30" t="s">
        <v>72</v>
      </c>
      <c r="G7" s="39" t="str">
        <f>VLOOKUP(G6,Sheet3!$A$1:$C$133,2,FALSE)&amp;" "&amp; VLOOKUP(G6,Sheet3!$A$1:$C$133,3,FALSE)</f>
        <v>suleyman tugrul dincer</v>
      </c>
      <c r="H7" s="40"/>
      <c r="I7" s="40"/>
      <c r="J7" s="40"/>
      <c r="K7" s="41"/>
    </row>
    <row r="9" spans="5:12" ht="15.75" thickBot="1" x14ac:dyDescent="0.3"/>
    <row r="10" spans="5:12" ht="29.25" customHeight="1" thickBot="1" x14ac:dyDescent="0.4">
      <c r="E10" s="33" t="s">
        <v>75</v>
      </c>
      <c r="F10" s="32" t="s">
        <v>74</v>
      </c>
      <c r="G10" s="42" t="s">
        <v>109</v>
      </c>
      <c r="H10" s="43"/>
      <c r="I10" s="43"/>
      <c r="J10" s="43"/>
      <c r="K10" s="44"/>
      <c r="L10" s="31" t="s">
        <v>73</v>
      </c>
    </row>
    <row r="11" spans="5:12" ht="30.75" customHeight="1" thickBot="1" x14ac:dyDescent="0.3">
      <c r="F11" s="30" t="s">
        <v>72</v>
      </c>
      <c r="G11" s="39" t="str">
        <f>VLOOKUP(G10,Sheet3!$A$1:$C$133,2,FALSE)&amp;" "&amp; VLOOKUP(G10,Sheet3!$A$1:$C$133,3,FALSE)</f>
        <v>ali emir yalcinli</v>
      </c>
      <c r="H11" s="40"/>
      <c r="I11" s="40"/>
      <c r="J11" s="40"/>
      <c r="K11" s="41"/>
    </row>
  </sheetData>
  <sheetProtection algorithmName="SHA-512" hashValue="6jO6jFtrcdvvel8HYsS81Dwmuv0411i0Jt/bbmwpBfyQmne3+GbuQU5RhncEEq75xHfXQwIk+PEcFaryN2rmMA==" saltValue="0jl0xU9wlivjyMRJsZH6dw==" spinCount="100000" sheet="1" objects="1" scenarios="1"/>
  <protectedRanges>
    <protectedRange algorithmName="SHA-512" hashValue="kwMkizPo96iSB59T4/btmpYJwpQvQ0l2xndGRg+3qpwlAGTRS0vCvuClzcD1CX9hc+IlXdOmZ1xuW+q8LOmpMQ==" saltValue="FmfJYpkXxDOU/4jNCk10qA==" spinCount="100000" sqref="G6 G10" name="Range1" securityDescriptor="O:WDG:WDD:(A;;CC;;;WD)"/>
  </protectedRanges>
  <mergeCells count="5">
    <mergeCell ref="G6:K6"/>
    <mergeCell ref="G7:K7"/>
    <mergeCell ref="G10:K10"/>
    <mergeCell ref="G11:K11"/>
    <mergeCell ref="F3:K3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Sheet3!$A$2:$A$133</xm:f>
          </x14:formula1>
          <xm:sqref>G10:K10</xm:sqref>
        </x14:dataValidation>
        <x14:dataValidation type="list" allowBlank="1" showInputMessage="1" showErrorMessage="1">
          <x14:formula1>
            <xm:f>Sheet3!$A$2:$A$133</xm:f>
          </x14:formula1>
          <xm:sqref>G6:K6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3"/>
  <sheetViews>
    <sheetView topLeftCell="A111" workbookViewId="0">
      <selection activeCell="C128" sqref="C128"/>
    </sheetView>
  </sheetViews>
  <sheetFormatPr defaultRowHeight="15" x14ac:dyDescent="0.25"/>
  <sheetData>
    <row r="1" spans="1:3" x14ac:dyDescent="0.25">
      <c r="A1" s="34" t="s">
        <v>452</v>
      </c>
      <c r="B1" s="34" t="s">
        <v>451</v>
      </c>
      <c r="C1" s="34" t="s">
        <v>450</v>
      </c>
    </row>
    <row r="2" spans="1:3" x14ac:dyDescent="0.25">
      <c r="A2" s="35" t="s">
        <v>449</v>
      </c>
      <c r="B2" s="35" t="s">
        <v>448</v>
      </c>
      <c r="C2" s="35" t="s">
        <v>447</v>
      </c>
    </row>
    <row r="3" spans="1:3" x14ac:dyDescent="0.25">
      <c r="A3" s="35" t="s">
        <v>446</v>
      </c>
      <c r="B3" s="35" t="s">
        <v>445</v>
      </c>
      <c r="C3" s="35" t="s">
        <v>444</v>
      </c>
    </row>
    <row r="4" spans="1:3" x14ac:dyDescent="0.25">
      <c r="A4" s="35" t="s">
        <v>443</v>
      </c>
      <c r="B4" s="35" t="s">
        <v>442</v>
      </c>
      <c r="C4" s="35" t="s">
        <v>441</v>
      </c>
    </row>
    <row r="5" spans="1:3" x14ac:dyDescent="0.25">
      <c r="A5" s="35" t="s">
        <v>440</v>
      </c>
      <c r="B5" s="35" t="s">
        <v>439</v>
      </c>
      <c r="C5" s="35" t="s">
        <v>438</v>
      </c>
    </row>
    <row r="6" spans="1:3" x14ac:dyDescent="0.25">
      <c r="A6" s="35" t="s">
        <v>437</v>
      </c>
      <c r="B6" s="35" t="s">
        <v>436</v>
      </c>
      <c r="C6" s="35" t="s">
        <v>435</v>
      </c>
    </row>
    <row r="7" spans="1:3" x14ac:dyDescent="0.25">
      <c r="A7" s="35" t="s">
        <v>434</v>
      </c>
      <c r="B7" s="35" t="s">
        <v>351</v>
      </c>
      <c r="C7" s="35" t="s">
        <v>433</v>
      </c>
    </row>
    <row r="8" spans="1:3" x14ac:dyDescent="0.25">
      <c r="A8" s="35" t="s">
        <v>432</v>
      </c>
      <c r="B8" s="35" t="s">
        <v>431</v>
      </c>
      <c r="C8" s="35" t="s">
        <v>137</v>
      </c>
    </row>
    <row r="9" spans="1:3" x14ac:dyDescent="0.25">
      <c r="A9" s="35" t="s">
        <v>430</v>
      </c>
      <c r="B9" s="35" t="s">
        <v>429</v>
      </c>
      <c r="C9" s="35" t="s">
        <v>428</v>
      </c>
    </row>
    <row r="10" spans="1:3" x14ac:dyDescent="0.25">
      <c r="A10" s="35" t="s">
        <v>427</v>
      </c>
      <c r="B10" s="35" t="s">
        <v>426</v>
      </c>
      <c r="C10" s="35" t="s">
        <v>425</v>
      </c>
    </row>
    <row r="11" spans="1:3" x14ac:dyDescent="0.25">
      <c r="A11" s="35" t="s">
        <v>424</v>
      </c>
      <c r="B11" s="35" t="s">
        <v>423</v>
      </c>
      <c r="C11" s="35" t="s">
        <v>422</v>
      </c>
    </row>
    <row r="12" spans="1:3" x14ac:dyDescent="0.25">
      <c r="A12" s="35" t="s">
        <v>421</v>
      </c>
      <c r="B12" s="35" t="s">
        <v>172</v>
      </c>
      <c r="C12" s="35" t="s">
        <v>420</v>
      </c>
    </row>
    <row r="13" spans="1:3" x14ac:dyDescent="0.25">
      <c r="A13" s="35" t="s">
        <v>419</v>
      </c>
      <c r="B13" s="35" t="s">
        <v>418</v>
      </c>
      <c r="C13" s="35" t="s">
        <v>417</v>
      </c>
    </row>
    <row r="14" spans="1:3" x14ac:dyDescent="0.25">
      <c r="A14" s="35" t="s">
        <v>416</v>
      </c>
      <c r="B14" s="35" t="s">
        <v>415</v>
      </c>
      <c r="C14" s="35" t="s">
        <v>412</v>
      </c>
    </row>
    <row r="15" spans="1:3" x14ac:dyDescent="0.25">
      <c r="A15" s="35" t="s">
        <v>414</v>
      </c>
      <c r="B15" s="35" t="s">
        <v>413</v>
      </c>
      <c r="C15" s="35" t="s">
        <v>412</v>
      </c>
    </row>
    <row r="16" spans="1:3" x14ac:dyDescent="0.25">
      <c r="A16" s="35" t="s">
        <v>411</v>
      </c>
      <c r="B16" s="35" t="s">
        <v>410</v>
      </c>
      <c r="C16" s="35" t="s">
        <v>407</v>
      </c>
    </row>
    <row r="17" spans="1:3" x14ac:dyDescent="0.25">
      <c r="A17" s="35" t="s">
        <v>409</v>
      </c>
      <c r="B17" s="35" t="s">
        <v>408</v>
      </c>
      <c r="C17" s="35" t="s">
        <v>407</v>
      </c>
    </row>
    <row r="18" spans="1:3" x14ac:dyDescent="0.25">
      <c r="A18" s="35" t="s">
        <v>406</v>
      </c>
      <c r="B18" s="35" t="s">
        <v>405</v>
      </c>
      <c r="C18" s="35" t="s">
        <v>404</v>
      </c>
    </row>
    <row r="19" spans="1:3" x14ac:dyDescent="0.25">
      <c r="A19" s="35" t="s">
        <v>403</v>
      </c>
      <c r="B19" s="35" t="s">
        <v>402</v>
      </c>
      <c r="C19" s="35" t="s">
        <v>401</v>
      </c>
    </row>
    <row r="20" spans="1:3" x14ac:dyDescent="0.25">
      <c r="A20" s="35" t="s">
        <v>400</v>
      </c>
      <c r="B20" s="35" t="s">
        <v>214</v>
      </c>
      <c r="C20" s="35" t="s">
        <v>399</v>
      </c>
    </row>
    <row r="21" spans="1:3" x14ac:dyDescent="0.25">
      <c r="A21" s="35" t="s">
        <v>398</v>
      </c>
      <c r="B21" s="35" t="s">
        <v>113</v>
      </c>
      <c r="C21" s="35" t="s">
        <v>397</v>
      </c>
    </row>
    <row r="22" spans="1:3" x14ac:dyDescent="0.25">
      <c r="A22" s="35" t="s">
        <v>396</v>
      </c>
      <c r="B22" s="35" t="s">
        <v>395</v>
      </c>
      <c r="C22" s="35" t="s">
        <v>394</v>
      </c>
    </row>
    <row r="23" spans="1:3" x14ac:dyDescent="0.25">
      <c r="A23" s="35" t="s">
        <v>393</v>
      </c>
      <c r="B23" s="35" t="s">
        <v>392</v>
      </c>
      <c r="C23" s="35" t="s">
        <v>391</v>
      </c>
    </row>
    <row r="24" spans="1:3" x14ac:dyDescent="0.25">
      <c r="A24" s="35" t="s">
        <v>390</v>
      </c>
      <c r="B24" s="35" t="s">
        <v>365</v>
      </c>
      <c r="C24" s="35" t="s">
        <v>389</v>
      </c>
    </row>
    <row r="25" spans="1:3" x14ac:dyDescent="0.25">
      <c r="A25" s="35" t="s">
        <v>388</v>
      </c>
      <c r="B25" s="35" t="s">
        <v>387</v>
      </c>
      <c r="C25" s="35" t="s">
        <v>386</v>
      </c>
    </row>
    <row r="26" spans="1:3" x14ac:dyDescent="0.25">
      <c r="A26" s="35" t="s">
        <v>385</v>
      </c>
      <c r="B26" s="35" t="s">
        <v>384</v>
      </c>
      <c r="C26" s="35" t="s">
        <v>383</v>
      </c>
    </row>
    <row r="27" spans="1:3" x14ac:dyDescent="0.25">
      <c r="A27" s="35" t="s">
        <v>382</v>
      </c>
      <c r="B27" s="35" t="s">
        <v>175</v>
      </c>
      <c r="C27" s="35" t="s">
        <v>381</v>
      </c>
    </row>
    <row r="28" spans="1:3" x14ac:dyDescent="0.25">
      <c r="A28" s="35" t="s">
        <v>380</v>
      </c>
      <c r="B28" s="35" t="s">
        <v>379</v>
      </c>
      <c r="C28" s="35" t="s">
        <v>378</v>
      </c>
    </row>
    <row r="29" spans="1:3" x14ac:dyDescent="0.25">
      <c r="A29" s="35" t="s">
        <v>377</v>
      </c>
      <c r="B29" s="35" t="s">
        <v>376</v>
      </c>
      <c r="C29" s="35" t="s">
        <v>375</v>
      </c>
    </row>
    <row r="30" spans="1:3" x14ac:dyDescent="0.25">
      <c r="A30" s="35" t="s">
        <v>374</v>
      </c>
      <c r="B30" s="35" t="s">
        <v>373</v>
      </c>
      <c r="C30" s="35" t="s">
        <v>372</v>
      </c>
    </row>
    <row r="31" spans="1:3" x14ac:dyDescent="0.25">
      <c r="A31" s="35" t="s">
        <v>371</v>
      </c>
      <c r="B31" s="35" t="s">
        <v>93</v>
      </c>
      <c r="C31" s="35" t="s">
        <v>370</v>
      </c>
    </row>
    <row r="32" spans="1:3" x14ac:dyDescent="0.25">
      <c r="A32" s="35" t="s">
        <v>369</v>
      </c>
      <c r="B32" s="35" t="s">
        <v>368</v>
      </c>
      <c r="C32" s="35" t="s">
        <v>367</v>
      </c>
    </row>
    <row r="33" spans="1:3" x14ac:dyDescent="0.25">
      <c r="A33" s="35" t="s">
        <v>366</v>
      </c>
      <c r="B33" s="35" t="s">
        <v>365</v>
      </c>
      <c r="C33" s="35" t="s">
        <v>364</v>
      </c>
    </row>
    <row r="34" spans="1:3" x14ac:dyDescent="0.25">
      <c r="A34" s="35" t="s">
        <v>363</v>
      </c>
      <c r="B34" s="35" t="s">
        <v>362</v>
      </c>
      <c r="C34" s="35" t="s">
        <v>361</v>
      </c>
    </row>
    <row r="35" spans="1:3" x14ac:dyDescent="0.25">
      <c r="A35" s="35" t="s">
        <v>360</v>
      </c>
      <c r="B35" s="35" t="s">
        <v>359</v>
      </c>
      <c r="C35" s="35" t="s">
        <v>358</v>
      </c>
    </row>
    <row r="36" spans="1:3" x14ac:dyDescent="0.25">
      <c r="A36" s="35" t="s">
        <v>357</v>
      </c>
      <c r="B36" s="35" t="s">
        <v>356</v>
      </c>
      <c r="C36" s="35" t="s">
        <v>355</v>
      </c>
    </row>
    <row r="37" spans="1:3" x14ac:dyDescent="0.25">
      <c r="A37" s="35" t="s">
        <v>354</v>
      </c>
      <c r="B37" s="35" t="s">
        <v>353</v>
      </c>
      <c r="C37" s="35" t="s">
        <v>351</v>
      </c>
    </row>
    <row r="38" spans="1:3" x14ac:dyDescent="0.25">
      <c r="A38" s="35" t="s">
        <v>352</v>
      </c>
      <c r="B38" s="35" t="s">
        <v>146</v>
      </c>
      <c r="C38" s="35" t="s">
        <v>351</v>
      </c>
    </row>
    <row r="39" spans="1:3" x14ac:dyDescent="0.25">
      <c r="A39" s="35" t="s">
        <v>350</v>
      </c>
      <c r="B39" s="35" t="s">
        <v>349</v>
      </c>
      <c r="C39" s="35" t="s">
        <v>348</v>
      </c>
    </row>
    <row r="40" spans="1:3" x14ac:dyDescent="0.25">
      <c r="A40" s="35" t="s">
        <v>347</v>
      </c>
      <c r="B40" s="35" t="s">
        <v>297</v>
      </c>
      <c r="C40" s="35" t="s">
        <v>346</v>
      </c>
    </row>
    <row r="41" spans="1:3" x14ac:dyDescent="0.25">
      <c r="A41" s="35" t="s">
        <v>345</v>
      </c>
      <c r="B41" s="35" t="s">
        <v>344</v>
      </c>
      <c r="C41" s="35" t="s">
        <v>343</v>
      </c>
    </row>
    <row r="42" spans="1:3" x14ac:dyDescent="0.25">
      <c r="A42" s="35" t="s">
        <v>342</v>
      </c>
      <c r="B42" s="35" t="s">
        <v>341</v>
      </c>
      <c r="C42" s="35" t="s">
        <v>340</v>
      </c>
    </row>
    <row r="43" spans="1:3" x14ac:dyDescent="0.25">
      <c r="A43" s="35" t="s">
        <v>339</v>
      </c>
      <c r="B43" s="35" t="s">
        <v>338</v>
      </c>
      <c r="C43" s="35" t="s">
        <v>337</v>
      </c>
    </row>
    <row r="44" spans="1:3" x14ac:dyDescent="0.25">
      <c r="A44" s="35" t="s">
        <v>336</v>
      </c>
      <c r="B44" s="35" t="s">
        <v>335</v>
      </c>
      <c r="C44" s="35" t="s">
        <v>334</v>
      </c>
    </row>
    <row r="45" spans="1:3" x14ac:dyDescent="0.25">
      <c r="A45" s="35" t="s">
        <v>333</v>
      </c>
      <c r="B45" s="35" t="s">
        <v>332</v>
      </c>
      <c r="C45" s="35" t="s">
        <v>331</v>
      </c>
    </row>
    <row r="46" spans="1:3" x14ac:dyDescent="0.25">
      <c r="A46" s="35" t="s">
        <v>330</v>
      </c>
      <c r="B46" s="35" t="s">
        <v>329</v>
      </c>
      <c r="C46" s="35" t="s">
        <v>328</v>
      </c>
    </row>
    <row r="47" spans="1:3" x14ac:dyDescent="0.25">
      <c r="A47" s="35" t="s">
        <v>327</v>
      </c>
      <c r="B47" s="35" t="s">
        <v>326</v>
      </c>
      <c r="C47" s="35" t="s">
        <v>325</v>
      </c>
    </row>
    <row r="48" spans="1:3" x14ac:dyDescent="0.25">
      <c r="A48" s="35" t="s">
        <v>324</v>
      </c>
      <c r="B48" s="35" t="s">
        <v>323</v>
      </c>
      <c r="C48" s="35" t="s">
        <v>322</v>
      </c>
    </row>
    <row r="49" spans="1:3" x14ac:dyDescent="0.25">
      <c r="A49" s="35" t="s">
        <v>321</v>
      </c>
      <c r="B49" s="35" t="s">
        <v>320</v>
      </c>
      <c r="C49" s="35" t="s">
        <v>319</v>
      </c>
    </row>
    <row r="50" spans="1:3" x14ac:dyDescent="0.25">
      <c r="A50" s="35" t="s">
        <v>318</v>
      </c>
      <c r="B50" s="35" t="s">
        <v>317</v>
      </c>
      <c r="C50" s="35" t="s">
        <v>316</v>
      </c>
    </row>
    <row r="51" spans="1:3" x14ac:dyDescent="0.25">
      <c r="A51" s="35" t="s">
        <v>315</v>
      </c>
      <c r="B51" s="35" t="s">
        <v>314</v>
      </c>
      <c r="C51" s="35" t="s">
        <v>313</v>
      </c>
    </row>
    <row r="52" spans="1:3" x14ac:dyDescent="0.25">
      <c r="A52" s="35" t="s">
        <v>312</v>
      </c>
      <c r="B52" s="35" t="s">
        <v>311</v>
      </c>
      <c r="C52" s="35" t="s">
        <v>310</v>
      </c>
    </row>
    <row r="53" spans="1:3" x14ac:dyDescent="0.25">
      <c r="A53" s="35" t="s">
        <v>309</v>
      </c>
      <c r="B53" s="35" t="s">
        <v>308</v>
      </c>
      <c r="C53" s="35" t="s">
        <v>307</v>
      </c>
    </row>
    <row r="54" spans="1:3" x14ac:dyDescent="0.25">
      <c r="A54" s="35" t="s">
        <v>306</v>
      </c>
      <c r="B54" s="35" t="s">
        <v>305</v>
      </c>
      <c r="C54" s="35" t="s">
        <v>304</v>
      </c>
    </row>
    <row r="55" spans="1:3" x14ac:dyDescent="0.25">
      <c r="A55" s="35" t="s">
        <v>303</v>
      </c>
      <c r="B55" s="35" t="s">
        <v>302</v>
      </c>
      <c r="C55" s="35" t="s">
        <v>301</v>
      </c>
    </row>
    <row r="56" spans="1:3" x14ac:dyDescent="0.25">
      <c r="A56" s="35" t="s">
        <v>300</v>
      </c>
      <c r="B56" s="35" t="s">
        <v>99</v>
      </c>
      <c r="C56" s="35" t="s">
        <v>299</v>
      </c>
    </row>
    <row r="57" spans="1:3" x14ac:dyDescent="0.25">
      <c r="A57" s="35" t="s">
        <v>298</v>
      </c>
      <c r="B57" s="35" t="s">
        <v>297</v>
      </c>
      <c r="C57" s="35" t="s">
        <v>296</v>
      </c>
    </row>
    <row r="58" spans="1:3" x14ac:dyDescent="0.25">
      <c r="A58" s="35" t="s">
        <v>295</v>
      </c>
      <c r="B58" s="35" t="s">
        <v>294</v>
      </c>
      <c r="C58" s="35" t="s">
        <v>293</v>
      </c>
    </row>
    <row r="59" spans="1:3" x14ac:dyDescent="0.25">
      <c r="A59" s="35" t="s">
        <v>292</v>
      </c>
      <c r="B59" s="35" t="s">
        <v>291</v>
      </c>
      <c r="C59" s="35" t="s">
        <v>290</v>
      </c>
    </row>
    <row r="60" spans="1:3" x14ac:dyDescent="0.25">
      <c r="A60" s="35" t="s">
        <v>289</v>
      </c>
      <c r="B60" s="35" t="s">
        <v>288</v>
      </c>
      <c r="C60" s="35" t="s">
        <v>287</v>
      </c>
    </row>
    <row r="61" spans="1:3" x14ac:dyDescent="0.25">
      <c r="A61" s="35" t="s">
        <v>286</v>
      </c>
      <c r="B61" s="35" t="s">
        <v>285</v>
      </c>
      <c r="C61" s="35" t="s">
        <v>284</v>
      </c>
    </row>
    <row r="62" spans="1:3" x14ac:dyDescent="0.25">
      <c r="A62" s="35" t="s">
        <v>283</v>
      </c>
      <c r="B62" s="35" t="s">
        <v>282</v>
      </c>
      <c r="C62" s="35" t="s">
        <v>281</v>
      </c>
    </row>
    <row r="63" spans="1:3" x14ac:dyDescent="0.25">
      <c r="A63" s="35" t="s">
        <v>280</v>
      </c>
      <c r="B63" s="35" t="s">
        <v>279</v>
      </c>
      <c r="C63" s="35" t="s">
        <v>278</v>
      </c>
    </row>
    <row r="64" spans="1:3" x14ac:dyDescent="0.25">
      <c r="A64" s="35" t="s">
        <v>277</v>
      </c>
      <c r="B64" s="35" t="s">
        <v>276</v>
      </c>
      <c r="C64" s="35" t="s">
        <v>275</v>
      </c>
    </row>
    <row r="65" spans="1:3" x14ac:dyDescent="0.25">
      <c r="A65" s="35" t="s">
        <v>274</v>
      </c>
      <c r="B65" s="35" t="s">
        <v>273</v>
      </c>
      <c r="C65" s="35" t="s">
        <v>272</v>
      </c>
    </row>
    <row r="66" spans="1:3" x14ac:dyDescent="0.25">
      <c r="A66" s="35" t="s">
        <v>271</v>
      </c>
      <c r="B66" s="35" t="s">
        <v>242</v>
      </c>
      <c r="C66" s="35" t="s">
        <v>270</v>
      </c>
    </row>
    <row r="67" spans="1:3" x14ac:dyDescent="0.25">
      <c r="A67" s="35" t="s">
        <v>269</v>
      </c>
      <c r="B67" s="35" t="s">
        <v>268</v>
      </c>
      <c r="C67" s="35" t="s">
        <v>267</v>
      </c>
    </row>
    <row r="68" spans="1:3" x14ac:dyDescent="0.25">
      <c r="A68" s="35" t="s">
        <v>266</v>
      </c>
      <c r="B68" s="35" t="s">
        <v>265</v>
      </c>
      <c r="C68" s="35" t="s">
        <v>264</v>
      </c>
    </row>
    <row r="69" spans="1:3" x14ac:dyDescent="0.25">
      <c r="A69" s="35" t="s">
        <v>263</v>
      </c>
      <c r="B69" s="35" t="s">
        <v>262</v>
      </c>
      <c r="C69" s="35" t="s">
        <v>261</v>
      </c>
    </row>
    <row r="70" spans="1:3" x14ac:dyDescent="0.25">
      <c r="A70" s="35" t="s">
        <v>260</v>
      </c>
      <c r="B70" s="35" t="s">
        <v>259</v>
      </c>
      <c r="C70" s="35" t="s">
        <v>258</v>
      </c>
    </row>
    <row r="71" spans="1:3" x14ac:dyDescent="0.25">
      <c r="A71" s="35" t="s">
        <v>257</v>
      </c>
      <c r="B71" s="35" t="s">
        <v>92</v>
      </c>
      <c r="C71" s="35" t="s">
        <v>256</v>
      </c>
    </row>
    <row r="72" spans="1:3" x14ac:dyDescent="0.25">
      <c r="A72" s="35" t="s">
        <v>255</v>
      </c>
      <c r="B72" s="35" t="s">
        <v>254</v>
      </c>
      <c r="C72" s="35" t="s">
        <v>253</v>
      </c>
    </row>
    <row r="73" spans="1:3" x14ac:dyDescent="0.25">
      <c r="A73" s="35" t="s">
        <v>252</v>
      </c>
      <c r="B73" s="35" t="s">
        <v>251</v>
      </c>
      <c r="C73" s="35" t="s">
        <v>250</v>
      </c>
    </row>
    <row r="74" spans="1:3" x14ac:dyDescent="0.25">
      <c r="A74" s="35" t="s">
        <v>249</v>
      </c>
      <c r="B74" s="35" t="s">
        <v>248</v>
      </c>
      <c r="C74" s="35" t="s">
        <v>247</v>
      </c>
    </row>
    <row r="75" spans="1:3" x14ac:dyDescent="0.25">
      <c r="A75" s="35" t="s">
        <v>246</v>
      </c>
      <c r="B75" s="35" t="s">
        <v>245</v>
      </c>
      <c r="C75" s="35" t="s">
        <v>244</v>
      </c>
    </row>
    <row r="76" spans="1:3" x14ac:dyDescent="0.25">
      <c r="A76" s="35" t="s">
        <v>243</v>
      </c>
      <c r="B76" s="35" t="s">
        <v>242</v>
      </c>
      <c r="C76" s="35" t="s">
        <v>241</v>
      </c>
    </row>
    <row r="77" spans="1:3" x14ac:dyDescent="0.25">
      <c r="A77" s="35" t="s">
        <v>240</v>
      </c>
      <c r="B77" s="35" t="s">
        <v>239</v>
      </c>
      <c r="C77" s="35" t="s">
        <v>238</v>
      </c>
    </row>
    <row r="78" spans="1:3" x14ac:dyDescent="0.25">
      <c r="A78" s="35" t="s">
        <v>237</v>
      </c>
      <c r="B78" s="35" t="s">
        <v>236</v>
      </c>
      <c r="C78" s="35" t="s">
        <v>235</v>
      </c>
    </row>
    <row r="79" spans="1:3" x14ac:dyDescent="0.25">
      <c r="A79" s="35" t="s">
        <v>234</v>
      </c>
      <c r="B79" s="35" t="s">
        <v>233</v>
      </c>
      <c r="C79" s="35" t="s">
        <v>232</v>
      </c>
    </row>
    <row r="80" spans="1:3" x14ac:dyDescent="0.25">
      <c r="A80" s="35" t="s">
        <v>231</v>
      </c>
      <c r="B80" s="35" t="s">
        <v>230</v>
      </c>
      <c r="C80" s="35" t="s">
        <v>229</v>
      </c>
    </row>
    <row r="81" spans="1:3" x14ac:dyDescent="0.25">
      <c r="A81" s="35" t="s">
        <v>228</v>
      </c>
      <c r="B81" s="35" t="s">
        <v>227</v>
      </c>
      <c r="C81" s="35" t="s">
        <v>226</v>
      </c>
    </row>
    <row r="82" spans="1:3" x14ac:dyDescent="0.25">
      <c r="A82" s="35" t="s">
        <v>225</v>
      </c>
      <c r="B82" s="35" t="s">
        <v>224</v>
      </c>
      <c r="C82" s="35" t="s">
        <v>223</v>
      </c>
    </row>
    <row r="83" spans="1:3" x14ac:dyDescent="0.25">
      <c r="A83" s="35" t="s">
        <v>222</v>
      </c>
      <c r="B83" s="35" t="s">
        <v>221</v>
      </c>
      <c r="C83" s="35" t="s">
        <v>220</v>
      </c>
    </row>
    <row r="84" spans="1:3" x14ac:dyDescent="0.25">
      <c r="A84" s="35" t="s">
        <v>219</v>
      </c>
      <c r="B84" s="35" t="s">
        <v>218</v>
      </c>
      <c r="C84" s="35" t="s">
        <v>217</v>
      </c>
    </row>
    <row r="85" spans="1:3" x14ac:dyDescent="0.25">
      <c r="A85" s="35" t="s">
        <v>216</v>
      </c>
      <c r="B85" s="35" t="s">
        <v>215</v>
      </c>
      <c r="C85" s="35" t="s">
        <v>214</v>
      </c>
    </row>
    <row r="86" spans="1:3" x14ac:dyDescent="0.25">
      <c r="A86" s="35" t="s">
        <v>213</v>
      </c>
      <c r="B86" s="35" t="s">
        <v>212</v>
      </c>
      <c r="C86" s="35" t="s">
        <v>211</v>
      </c>
    </row>
    <row r="87" spans="1:3" x14ac:dyDescent="0.25">
      <c r="A87" s="35" t="s">
        <v>210</v>
      </c>
      <c r="B87" s="35" t="s">
        <v>209</v>
      </c>
      <c r="C87" s="35" t="s">
        <v>208</v>
      </c>
    </row>
    <row r="88" spans="1:3" x14ac:dyDescent="0.25">
      <c r="A88" s="35" t="s">
        <v>207</v>
      </c>
      <c r="B88" s="35" t="s">
        <v>206</v>
      </c>
      <c r="C88" s="35" t="s">
        <v>205</v>
      </c>
    </row>
    <row r="89" spans="1:3" x14ac:dyDescent="0.25">
      <c r="A89" s="35" t="s">
        <v>204</v>
      </c>
      <c r="B89" s="35" t="s">
        <v>203</v>
      </c>
      <c r="C89" s="35" t="s">
        <v>202</v>
      </c>
    </row>
    <row r="90" spans="1:3" x14ac:dyDescent="0.25">
      <c r="A90" s="35" t="s">
        <v>201</v>
      </c>
      <c r="B90" s="35" t="s">
        <v>200</v>
      </c>
      <c r="C90" s="35" t="s">
        <v>197</v>
      </c>
    </row>
    <row r="91" spans="1:3" x14ac:dyDescent="0.25">
      <c r="A91" s="35" t="s">
        <v>199</v>
      </c>
      <c r="B91" s="35" t="s">
        <v>198</v>
      </c>
      <c r="C91" s="35" t="s">
        <v>197</v>
      </c>
    </row>
    <row r="92" spans="1:3" x14ac:dyDescent="0.25">
      <c r="A92" s="35" t="s">
        <v>196</v>
      </c>
      <c r="B92" s="35" t="s">
        <v>195</v>
      </c>
      <c r="C92" s="35" t="s">
        <v>194</v>
      </c>
    </row>
    <row r="93" spans="1:3" x14ac:dyDescent="0.25">
      <c r="A93" s="35" t="s">
        <v>193</v>
      </c>
      <c r="B93" s="35" t="s">
        <v>192</v>
      </c>
      <c r="C93" s="35" t="s">
        <v>191</v>
      </c>
    </row>
    <row r="94" spans="1:3" x14ac:dyDescent="0.25">
      <c r="A94" s="35" t="s">
        <v>190</v>
      </c>
      <c r="B94" s="35" t="s">
        <v>189</v>
      </c>
      <c r="C94" s="35" t="s">
        <v>186</v>
      </c>
    </row>
    <row r="95" spans="1:3" x14ac:dyDescent="0.25">
      <c r="A95" s="35" t="s">
        <v>188</v>
      </c>
      <c r="B95" s="35" t="s">
        <v>187</v>
      </c>
      <c r="C95" s="35" t="s">
        <v>186</v>
      </c>
    </row>
    <row r="96" spans="1:3" x14ac:dyDescent="0.25">
      <c r="A96" s="35" t="s">
        <v>185</v>
      </c>
      <c r="B96" s="35" t="s">
        <v>184</v>
      </c>
      <c r="C96" s="35" t="s">
        <v>183</v>
      </c>
    </row>
    <row r="97" spans="1:3" x14ac:dyDescent="0.25">
      <c r="A97" s="35" t="s">
        <v>182</v>
      </c>
      <c r="B97" s="35" t="s">
        <v>181</v>
      </c>
      <c r="C97" s="35" t="s">
        <v>180</v>
      </c>
    </row>
    <row r="98" spans="1:3" x14ac:dyDescent="0.25">
      <c r="A98" s="35" t="s">
        <v>179</v>
      </c>
      <c r="B98" s="35" t="s">
        <v>178</v>
      </c>
      <c r="C98" s="35" t="s">
        <v>177</v>
      </c>
    </row>
    <row r="99" spans="1:3" x14ac:dyDescent="0.25">
      <c r="A99" s="35" t="s">
        <v>176</v>
      </c>
      <c r="B99" s="35" t="s">
        <v>175</v>
      </c>
      <c r="C99" s="35" t="s">
        <v>174</v>
      </c>
    </row>
    <row r="100" spans="1:3" x14ac:dyDescent="0.25">
      <c r="A100" s="35" t="s">
        <v>173</v>
      </c>
      <c r="B100" s="35" t="s">
        <v>172</v>
      </c>
      <c r="C100" s="35" t="s">
        <v>171</v>
      </c>
    </row>
    <row r="101" spans="1:3" x14ac:dyDescent="0.25">
      <c r="A101" s="35" t="s">
        <v>170</v>
      </c>
      <c r="B101" s="35" t="s">
        <v>169</v>
      </c>
      <c r="C101" s="35" t="s">
        <v>168</v>
      </c>
    </row>
    <row r="102" spans="1:3" x14ac:dyDescent="0.25">
      <c r="A102" s="35" t="s">
        <v>167</v>
      </c>
      <c r="B102" s="35" t="s">
        <v>166</v>
      </c>
      <c r="C102" s="35" t="s">
        <v>165</v>
      </c>
    </row>
    <row r="103" spans="1:3" x14ac:dyDescent="0.25">
      <c r="A103" s="35" t="s">
        <v>164</v>
      </c>
      <c r="B103" s="35" t="s">
        <v>163</v>
      </c>
      <c r="C103" s="35" t="s">
        <v>162</v>
      </c>
    </row>
    <row r="104" spans="1:3" x14ac:dyDescent="0.25">
      <c r="A104" s="35" t="s">
        <v>161</v>
      </c>
      <c r="B104" s="35" t="s">
        <v>160</v>
      </c>
      <c r="C104" s="35" t="s">
        <v>159</v>
      </c>
    </row>
    <row r="105" spans="1:3" x14ac:dyDescent="0.25">
      <c r="A105" s="35" t="s">
        <v>158</v>
      </c>
      <c r="B105" s="35" t="s">
        <v>157</v>
      </c>
      <c r="C105" s="35" t="s">
        <v>156</v>
      </c>
    </row>
    <row r="106" spans="1:3" x14ac:dyDescent="0.25">
      <c r="A106" s="35" t="s">
        <v>155</v>
      </c>
      <c r="B106" s="35" t="s">
        <v>99</v>
      </c>
      <c r="C106" s="35" t="s">
        <v>154</v>
      </c>
    </row>
    <row r="107" spans="1:3" x14ac:dyDescent="0.25">
      <c r="A107" s="35" t="s">
        <v>153</v>
      </c>
      <c r="B107" s="35" t="s">
        <v>152</v>
      </c>
      <c r="C107" s="35" t="s">
        <v>151</v>
      </c>
    </row>
    <row r="108" spans="1:3" x14ac:dyDescent="0.25">
      <c r="A108" s="35" t="s">
        <v>150</v>
      </c>
      <c r="B108" s="35" t="s">
        <v>149</v>
      </c>
      <c r="C108" s="35" t="s">
        <v>148</v>
      </c>
    </row>
    <row r="109" spans="1:3" x14ac:dyDescent="0.25">
      <c r="A109" s="35" t="s">
        <v>147</v>
      </c>
      <c r="B109" s="35" t="s">
        <v>146</v>
      </c>
      <c r="C109" s="35" t="s">
        <v>145</v>
      </c>
    </row>
    <row r="110" spans="1:3" x14ac:dyDescent="0.25">
      <c r="A110" s="35" t="s">
        <v>144</v>
      </c>
      <c r="B110" s="35" t="s">
        <v>143</v>
      </c>
      <c r="C110" s="35" t="s">
        <v>142</v>
      </c>
    </row>
    <row r="111" spans="1:3" x14ac:dyDescent="0.25">
      <c r="A111" s="35" t="s">
        <v>141</v>
      </c>
      <c r="B111" s="35" t="s">
        <v>140</v>
      </c>
      <c r="C111" s="35" t="s">
        <v>139</v>
      </c>
    </row>
    <row r="112" spans="1:3" x14ac:dyDescent="0.25">
      <c r="A112" s="35" t="s">
        <v>138</v>
      </c>
      <c r="B112" s="35" t="s">
        <v>137</v>
      </c>
      <c r="C112" s="35" t="s">
        <v>136</v>
      </c>
    </row>
    <row r="113" spans="1:3" x14ac:dyDescent="0.25">
      <c r="A113" s="35" t="s">
        <v>135</v>
      </c>
      <c r="B113" s="35" t="s">
        <v>134</v>
      </c>
      <c r="C113" s="35" t="s">
        <v>133</v>
      </c>
    </row>
    <row r="114" spans="1:3" x14ac:dyDescent="0.25">
      <c r="A114" s="35" t="s">
        <v>132</v>
      </c>
      <c r="B114" s="35" t="s">
        <v>131</v>
      </c>
      <c r="C114" s="35" t="s">
        <v>130</v>
      </c>
    </row>
    <row r="115" spans="1:3" x14ac:dyDescent="0.25">
      <c r="A115" s="35" t="s">
        <v>129</v>
      </c>
      <c r="B115" s="35" t="s">
        <v>128</v>
      </c>
      <c r="C115" s="35" t="s">
        <v>127</v>
      </c>
    </row>
    <row r="116" spans="1:3" x14ac:dyDescent="0.25">
      <c r="A116" s="35" t="s">
        <v>126</v>
      </c>
      <c r="B116" s="35" t="s">
        <v>125</v>
      </c>
      <c r="C116" s="35" t="s">
        <v>124</v>
      </c>
    </row>
    <row r="117" spans="1:3" x14ac:dyDescent="0.25">
      <c r="A117" s="35" t="s">
        <v>123</v>
      </c>
      <c r="B117" s="35" t="s">
        <v>122</v>
      </c>
      <c r="C117" s="35" t="s">
        <v>121</v>
      </c>
    </row>
    <row r="118" spans="1:3" x14ac:dyDescent="0.25">
      <c r="A118" s="35" t="s">
        <v>120</v>
      </c>
      <c r="B118" s="35" t="s">
        <v>119</v>
      </c>
      <c r="C118" s="35" t="s">
        <v>118</v>
      </c>
    </row>
    <row r="119" spans="1:3" x14ac:dyDescent="0.25">
      <c r="A119" s="35" t="s">
        <v>117</v>
      </c>
      <c r="B119" s="35" t="s">
        <v>116</v>
      </c>
      <c r="C119" s="35" t="s">
        <v>115</v>
      </c>
    </row>
    <row r="120" spans="1:3" x14ac:dyDescent="0.25">
      <c r="A120" s="35" t="s">
        <v>114</v>
      </c>
      <c r="B120" s="35" t="s">
        <v>113</v>
      </c>
      <c r="C120" s="35" t="s">
        <v>110</v>
      </c>
    </row>
    <row r="121" spans="1:3" x14ac:dyDescent="0.25">
      <c r="A121" s="35" t="s">
        <v>112</v>
      </c>
      <c r="B121" s="35" t="s">
        <v>111</v>
      </c>
      <c r="C121" s="35" t="s">
        <v>110</v>
      </c>
    </row>
    <row r="122" spans="1:3" x14ac:dyDescent="0.25">
      <c r="A122" s="35" t="s">
        <v>109</v>
      </c>
      <c r="B122" s="35" t="s">
        <v>108</v>
      </c>
      <c r="C122" s="35" t="s">
        <v>107</v>
      </c>
    </row>
    <row r="123" spans="1:3" x14ac:dyDescent="0.25">
      <c r="A123" s="35" t="s">
        <v>106</v>
      </c>
      <c r="B123" s="35" t="s">
        <v>105</v>
      </c>
      <c r="C123" s="35" t="s">
        <v>104</v>
      </c>
    </row>
    <row r="124" spans="1:3" x14ac:dyDescent="0.25">
      <c r="A124" s="35" t="s">
        <v>103</v>
      </c>
      <c r="B124" s="35" t="s">
        <v>102</v>
      </c>
      <c r="C124" s="35" t="s">
        <v>101</v>
      </c>
    </row>
    <row r="125" spans="1:3" x14ac:dyDescent="0.25">
      <c r="A125" s="35" t="s">
        <v>100</v>
      </c>
      <c r="B125" s="35" t="s">
        <v>99</v>
      </c>
      <c r="C125" s="35" t="s">
        <v>98</v>
      </c>
    </row>
    <row r="126" spans="1:3" x14ac:dyDescent="0.25">
      <c r="A126" s="35" t="s">
        <v>97</v>
      </c>
      <c r="B126" s="35" t="s">
        <v>96</v>
      </c>
      <c r="C126" s="35" t="s">
        <v>95</v>
      </c>
    </row>
    <row r="127" spans="1:3" x14ac:dyDescent="0.25">
      <c r="A127" s="35" t="s">
        <v>94</v>
      </c>
      <c r="B127" s="35" t="s">
        <v>93</v>
      </c>
      <c r="C127" s="35" t="s">
        <v>92</v>
      </c>
    </row>
    <row r="128" spans="1:3" x14ac:dyDescent="0.25">
      <c r="A128" s="35" t="s">
        <v>91</v>
      </c>
      <c r="B128" s="35" t="s">
        <v>90</v>
      </c>
      <c r="C128" s="35" t="s">
        <v>87</v>
      </c>
    </row>
    <row r="129" spans="1:3" x14ac:dyDescent="0.25">
      <c r="A129" s="35" t="s">
        <v>453</v>
      </c>
      <c r="B129" s="35" t="s">
        <v>329</v>
      </c>
      <c r="C129" s="35" t="s">
        <v>87</v>
      </c>
    </row>
    <row r="130" spans="1:3" x14ac:dyDescent="0.25">
      <c r="A130" s="35" t="s">
        <v>89</v>
      </c>
      <c r="B130" s="35" t="s">
        <v>88</v>
      </c>
      <c r="C130" s="35" t="s">
        <v>87</v>
      </c>
    </row>
    <row r="131" spans="1:3" x14ac:dyDescent="0.25">
      <c r="A131" s="35" t="s">
        <v>86</v>
      </c>
      <c r="B131" s="35" t="s">
        <v>85</v>
      </c>
      <c r="C131" s="35" t="s">
        <v>84</v>
      </c>
    </row>
    <row r="132" spans="1:3" x14ac:dyDescent="0.25">
      <c r="A132" s="35" t="s">
        <v>83</v>
      </c>
      <c r="B132" s="35" t="s">
        <v>82</v>
      </c>
      <c r="C132" s="35" t="s">
        <v>81</v>
      </c>
    </row>
    <row r="133" spans="1:3" x14ac:dyDescent="0.25">
      <c r="A133" s="35" t="s">
        <v>80</v>
      </c>
      <c r="B133" s="35" t="s">
        <v>79</v>
      </c>
      <c r="C133" s="35" t="s">
        <v>78</v>
      </c>
    </row>
  </sheetData>
  <sheetProtection algorithmName="SHA-512" hashValue="lyQMz7HUTxhaAZhsb1/cQ91n8uYSIU1YCnWAKQIeVKp5+TUoNR8GB88ExTg07C09X6KPPdgRvQXWomxClNm1Dg==" saltValue="qO17Ic4dUOUG1mhZYGjStg==" spinCount="100000" sheet="1" objects="1" scenarios="1"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22"/>
  <sheetViews>
    <sheetView workbookViewId="0">
      <selection activeCell="B8" sqref="B8"/>
    </sheetView>
  </sheetViews>
  <sheetFormatPr defaultRowHeight="15" x14ac:dyDescent="0.25"/>
  <cols>
    <col min="1" max="1" width="10.7109375" style="7" customWidth="1"/>
    <col min="2" max="2" width="11.5703125" style="7" customWidth="1"/>
    <col min="3" max="3" width="9.85546875" customWidth="1"/>
  </cols>
  <sheetData>
    <row r="1" spans="1:31" x14ac:dyDescent="0.25">
      <c r="A1" s="11" t="s">
        <v>0</v>
      </c>
      <c r="B1" s="29"/>
      <c r="C1" s="11" t="s">
        <v>1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6</v>
      </c>
      <c r="I1" s="11" t="s">
        <v>7</v>
      </c>
      <c r="J1" s="11" t="s">
        <v>8</v>
      </c>
      <c r="K1" s="11" t="s">
        <v>9</v>
      </c>
      <c r="L1" s="11" t="s">
        <v>10</v>
      </c>
      <c r="M1" s="11" t="s">
        <v>11</v>
      </c>
      <c r="N1" s="11" t="s">
        <v>12</v>
      </c>
      <c r="O1" s="11" t="s">
        <v>13</v>
      </c>
      <c r="P1" s="11" t="s">
        <v>14</v>
      </c>
      <c r="Q1" s="11" t="s">
        <v>15</v>
      </c>
      <c r="R1" s="11" t="s">
        <v>16</v>
      </c>
      <c r="S1" s="11" t="s">
        <v>17</v>
      </c>
      <c r="T1" s="11" t="s">
        <v>18</v>
      </c>
      <c r="U1" s="11" t="s">
        <v>19</v>
      </c>
      <c r="V1" s="11" t="s">
        <v>20</v>
      </c>
      <c r="W1" s="11" t="s">
        <v>21</v>
      </c>
      <c r="X1" s="11" t="s">
        <v>22</v>
      </c>
      <c r="Y1" s="11" t="s">
        <v>23</v>
      </c>
      <c r="Z1" s="11" t="s">
        <v>24</v>
      </c>
      <c r="AA1" s="11" t="s">
        <v>25</v>
      </c>
    </row>
    <row r="2" spans="1:31" x14ac:dyDescent="0.25">
      <c r="A2" s="11" t="s">
        <v>26</v>
      </c>
      <c r="B2" s="11" t="s">
        <v>27</v>
      </c>
      <c r="C2" s="2">
        <v>88</v>
      </c>
      <c r="D2" s="2">
        <v>32</v>
      </c>
      <c r="E2" s="2">
        <v>96</v>
      </c>
      <c r="F2" s="2">
        <v>19</v>
      </c>
      <c r="G2" s="2">
        <v>76</v>
      </c>
      <c r="H2" s="2">
        <v>55</v>
      </c>
      <c r="I2" s="2">
        <v>80</v>
      </c>
      <c r="J2" s="2">
        <v>52</v>
      </c>
      <c r="K2" s="2">
        <v>41</v>
      </c>
      <c r="L2" s="2">
        <v>11</v>
      </c>
      <c r="M2" s="2">
        <v>91</v>
      </c>
      <c r="N2" s="2">
        <v>85</v>
      </c>
      <c r="O2" s="2">
        <v>62</v>
      </c>
      <c r="P2" s="2">
        <v>77</v>
      </c>
      <c r="Q2" s="2">
        <v>61</v>
      </c>
      <c r="R2" s="2">
        <v>29</v>
      </c>
      <c r="S2" s="2">
        <v>76</v>
      </c>
      <c r="T2" s="2">
        <v>17</v>
      </c>
      <c r="U2" s="2">
        <v>46</v>
      </c>
      <c r="V2" s="2">
        <v>42</v>
      </c>
      <c r="W2" s="2">
        <v>31</v>
      </c>
      <c r="X2" s="2">
        <v>78</v>
      </c>
      <c r="Y2" s="2">
        <v>90</v>
      </c>
      <c r="Z2" s="2">
        <v>98</v>
      </c>
      <c r="AA2" s="2">
        <v>23</v>
      </c>
    </row>
    <row r="3" spans="1:31" x14ac:dyDescent="0.25">
      <c r="A3" s="11" t="s">
        <v>28</v>
      </c>
      <c r="B3" s="11" t="s">
        <v>27</v>
      </c>
      <c r="C3" s="3">
        <v>39</v>
      </c>
      <c r="D3" s="3">
        <v>76</v>
      </c>
      <c r="E3" s="3">
        <v>24</v>
      </c>
      <c r="F3" s="3">
        <v>92</v>
      </c>
      <c r="G3" s="3">
        <v>71</v>
      </c>
      <c r="H3" s="3">
        <v>53</v>
      </c>
      <c r="I3" s="3">
        <v>12</v>
      </c>
      <c r="J3" s="3">
        <v>28</v>
      </c>
      <c r="K3" s="3">
        <v>31</v>
      </c>
      <c r="L3" s="3">
        <v>92</v>
      </c>
      <c r="M3" s="3">
        <v>78</v>
      </c>
      <c r="N3" s="3">
        <v>25</v>
      </c>
      <c r="O3" s="3">
        <v>66</v>
      </c>
      <c r="P3" s="3">
        <v>13</v>
      </c>
      <c r="Q3" s="3">
        <v>78</v>
      </c>
      <c r="R3" s="3">
        <v>69</v>
      </c>
      <c r="S3" s="3">
        <v>98</v>
      </c>
      <c r="T3" s="3">
        <v>11</v>
      </c>
      <c r="U3" s="3">
        <v>51</v>
      </c>
      <c r="V3" s="3">
        <v>77</v>
      </c>
      <c r="W3" s="3">
        <v>37</v>
      </c>
      <c r="X3" s="3">
        <v>99</v>
      </c>
      <c r="Y3" s="3">
        <v>33</v>
      </c>
      <c r="Z3" s="3">
        <v>38</v>
      </c>
      <c r="AA3" s="3">
        <v>91</v>
      </c>
    </row>
    <row r="4" spans="1:31" x14ac:dyDescent="0.25">
      <c r="A4" s="23" t="s">
        <v>29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6"/>
    </row>
    <row r="5" spans="1:31" x14ac:dyDescent="0.25">
      <c r="A5" s="28"/>
      <c r="B5" s="26" t="s">
        <v>454</v>
      </c>
      <c r="C5" s="8">
        <v>80</v>
      </c>
      <c r="D5" s="8">
        <v>50</v>
      </c>
      <c r="E5" s="8">
        <v>83</v>
      </c>
      <c r="F5" s="8">
        <v>11</v>
      </c>
      <c r="G5" s="8">
        <v>71</v>
      </c>
      <c r="H5" s="8">
        <v>13</v>
      </c>
      <c r="I5" s="8">
        <v>50</v>
      </c>
      <c r="J5" s="8">
        <v>52</v>
      </c>
      <c r="K5" s="8">
        <v>68</v>
      </c>
      <c r="L5" s="8">
        <v>63</v>
      </c>
      <c r="M5" s="8">
        <v>65</v>
      </c>
      <c r="N5" s="8">
        <v>98</v>
      </c>
      <c r="O5" s="8">
        <v>23</v>
      </c>
      <c r="P5" s="8">
        <v>39</v>
      </c>
      <c r="Q5" s="8">
        <v>55</v>
      </c>
      <c r="R5" s="8">
        <v>78</v>
      </c>
      <c r="S5" s="8">
        <v>78</v>
      </c>
      <c r="T5" s="8">
        <v>91</v>
      </c>
      <c r="U5" s="8">
        <v>31</v>
      </c>
      <c r="V5" s="8">
        <v>90</v>
      </c>
      <c r="W5" s="8">
        <v>64</v>
      </c>
      <c r="X5" s="8">
        <v>74</v>
      </c>
      <c r="Y5" s="8">
        <v>53</v>
      </c>
      <c r="Z5" s="8">
        <v>19</v>
      </c>
      <c r="AA5" s="8">
        <v>53</v>
      </c>
      <c r="AB5" s="10" t="s">
        <v>30</v>
      </c>
      <c r="AC5" s="2">
        <f>726</f>
        <v>726</v>
      </c>
    </row>
    <row r="6" spans="1:31" x14ac:dyDescent="0.25">
      <c r="A6" s="27"/>
      <c r="B6" s="26" t="s">
        <v>455</v>
      </c>
      <c r="C6" s="2">
        <v>72</v>
      </c>
      <c r="D6" s="2">
        <v>99</v>
      </c>
      <c r="E6" s="2">
        <v>10</v>
      </c>
      <c r="F6" s="2">
        <v>11</v>
      </c>
      <c r="G6" s="2">
        <v>77</v>
      </c>
      <c r="H6" s="2">
        <v>69</v>
      </c>
      <c r="I6" s="2">
        <v>42</v>
      </c>
      <c r="J6" s="2">
        <v>14</v>
      </c>
      <c r="K6" s="2">
        <v>96</v>
      </c>
      <c r="L6" s="2">
        <v>54</v>
      </c>
      <c r="M6" s="2">
        <v>23</v>
      </c>
      <c r="N6" s="2">
        <v>38</v>
      </c>
      <c r="O6" s="2">
        <v>90</v>
      </c>
      <c r="P6" s="2">
        <v>47</v>
      </c>
      <c r="Q6" s="2">
        <v>32</v>
      </c>
      <c r="R6" s="2">
        <v>18</v>
      </c>
      <c r="S6" s="2">
        <v>29</v>
      </c>
      <c r="T6" s="2">
        <v>16</v>
      </c>
      <c r="U6" s="2">
        <v>29</v>
      </c>
      <c r="V6" s="2">
        <v>48</v>
      </c>
      <c r="W6" s="2">
        <v>22</v>
      </c>
      <c r="X6" s="2">
        <v>41</v>
      </c>
      <c r="Y6" s="2">
        <v>37</v>
      </c>
      <c r="Z6" s="2">
        <v>48</v>
      </c>
      <c r="AA6" s="2">
        <v>77</v>
      </c>
      <c r="AB6" s="10" t="s">
        <v>30</v>
      </c>
      <c r="AC6" s="2">
        <f>569</f>
        <v>569</v>
      </c>
    </row>
    <row r="7" spans="1:31" x14ac:dyDescent="0.25">
      <c r="A7" s="27"/>
      <c r="B7" s="26" t="s">
        <v>456</v>
      </c>
      <c r="C7" s="2">
        <v>37</v>
      </c>
      <c r="D7" s="2">
        <v>10</v>
      </c>
      <c r="E7" s="2">
        <v>75</v>
      </c>
      <c r="F7" s="2">
        <v>97</v>
      </c>
      <c r="G7" s="2">
        <v>12</v>
      </c>
      <c r="H7" s="2">
        <v>32</v>
      </c>
      <c r="I7" s="2">
        <v>65</v>
      </c>
      <c r="J7" s="2">
        <v>45</v>
      </c>
      <c r="K7" s="2">
        <v>41</v>
      </c>
      <c r="L7" s="2">
        <v>94</v>
      </c>
      <c r="M7" s="2">
        <v>64</v>
      </c>
      <c r="N7" s="2">
        <v>53</v>
      </c>
      <c r="O7" s="2">
        <v>79</v>
      </c>
      <c r="P7" s="2">
        <v>25</v>
      </c>
      <c r="Q7" s="2">
        <v>47</v>
      </c>
      <c r="R7" s="2">
        <v>82</v>
      </c>
      <c r="S7" s="2">
        <v>74</v>
      </c>
      <c r="T7" s="2">
        <v>71</v>
      </c>
      <c r="U7" s="2">
        <v>48</v>
      </c>
      <c r="V7" s="2">
        <v>67</v>
      </c>
      <c r="W7" s="2">
        <v>54</v>
      </c>
      <c r="X7" s="2">
        <v>72</v>
      </c>
      <c r="Y7" s="2">
        <v>48</v>
      </c>
      <c r="Z7" s="2">
        <v>10</v>
      </c>
      <c r="AA7" s="2">
        <v>19</v>
      </c>
      <c r="AB7" s="10" t="s">
        <v>30</v>
      </c>
      <c r="AC7" s="2">
        <f>660</f>
        <v>660</v>
      </c>
    </row>
    <row r="8" spans="1:31" x14ac:dyDescent="0.25">
      <c r="A8"/>
    </row>
    <row r="15" spans="1:31" x14ac:dyDescent="0.25">
      <c r="C15" s="1"/>
      <c r="AC15" s="1"/>
      <c r="AD15" s="1"/>
      <c r="AE15" s="1"/>
    </row>
    <row r="16" spans="1:31" x14ac:dyDescent="0.25"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1"/>
    </row>
    <row r="17" spans="3:31" x14ac:dyDescent="0.25">
      <c r="C17" s="1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1"/>
    </row>
    <row r="18" spans="3:31" x14ac:dyDescent="0.25">
      <c r="C18" s="7"/>
      <c r="D18" s="1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1"/>
      <c r="AE18" s="1"/>
    </row>
    <row r="19" spans="3:31" x14ac:dyDescent="0.25">
      <c r="C19" s="1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</row>
    <row r="20" spans="3:31" x14ac:dyDescent="0.25">
      <c r="C20" s="1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</row>
    <row r="21" spans="3:31" x14ac:dyDescent="0.25">
      <c r="C21" s="1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</row>
    <row r="22" spans="3:31" x14ac:dyDescent="0.25">
      <c r="C22" s="1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Y102"/>
  <sheetViews>
    <sheetView tabSelected="1" topLeftCell="R1" workbookViewId="0">
      <selection activeCell="A12" sqref="A12"/>
    </sheetView>
  </sheetViews>
  <sheetFormatPr defaultRowHeight="15" x14ac:dyDescent="0.25"/>
  <cols>
    <col min="1" max="1" width="31" customWidth="1"/>
    <col min="2" max="2" width="12.7109375" style="7" customWidth="1"/>
    <col min="3" max="3" width="14.140625" style="7" customWidth="1"/>
    <col min="4" max="4" width="22.28515625" customWidth="1"/>
    <col min="5" max="26" width="9.140625" style="7"/>
    <col min="27" max="27" width="6.7109375" style="7" customWidth="1"/>
    <col min="28" max="28" width="13.5703125" style="7" customWidth="1"/>
    <col min="29" max="29" width="11" style="1" customWidth="1"/>
  </cols>
  <sheetData>
    <row r="1" spans="1:77" ht="15.75" thickBot="1" x14ac:dyDescent="0.3">
      <c r="A1" s="19" t="s">
        <v>70</v>
      </c>
    </row>
    <row r="2" spans="1:77" x14ac:dyDescent="0.25">
      <c r="A2" s="21" t="s">
        <v>31</v>
      </c>
      <c r="B2" s="22" t="s">
        <v>1</v>
      </c>
      <c r="C2" s="23" t="s">
        <v>2</v>
      </c>
      <c r="D2" s="23" t="s">
        <v>3</v>
      </c>
      <c r="E2" s="23" t="s">
        <v>4</v>
      </c>
      <c r="F2" s="23" t="s">
        <v>5</v>
      </c>
      <c r="G2" s="23" t="s">
        <v>6</v>
      </c>
      <c r="H2" s="23" t="s">
        <v>7</v>
      </c>
      <c r="I2" s="23" t="s">
        <v>8</v>
      </c>
      <c r="J2" s="23" t="s">
        <v>9</v>
      </c>
      <c r="K2" s="23" t="s">
        <v>10</v>
      </c>
      <c r="L2" s="23" t="s">
        <v>11</v>
      </c>
      <c r="M2" s="23" t="s">
        <v>12</v>
      </c>
      <c r="N2" s="23" t="s">
        <v>13</v>
      </c>
      <c r="O2" s="23" t="s">
        <v>14</v>
      </c>
      <c r="P2" s="23" t="s">
        <v>15</v>
      </c>
      <c r="Q2" s="23" t="s">
        <v>16</v>
      </c>
      <c r="R2" s="23" t="s">
        <v>17</v>
      </c>
      <c r="S2" s="23" t="s">
        <v>18</v>
      </c>
      <c r="T2" s="23" t="s">
        <v>19</v>
      </c>
      <c r="U2" s="23" t="s">
        <v>20</v>
      </c>
      <c r="V2" s="23" t="s">
        <v>21</v>
      </c>
      <c r="W2" s="23" t="s">
        <v>22</v>
      </c>
      <c r="X2" s="23" t="s">
        <v>23</v>
      </c>
      <c r="Y2" s="23" t="s">
        <v>24</v>
      </c>
      <c r="Z2" s="23" t="s">
        <v>25</v>
      </c>
      <c r="AA2" s="1"/>
      <c r="AB2" s="1"/>
    </row>
    <row r="3" spans="1:77" s="25" customFormat="1" x14ac:dyDescent="0.25">
      <c r="A3" s="12" t="s">
        <v>71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4" spans="1:77" x14ac:dyDescent="0.25">
      <c r="A4" s="20" t="s">
        <v>33</v>
      </c>
      <c r="B4" s="24">
        <v>88</v>
      </c>
      <c r="C4" s="8">
        <v>32</v>
      </c>
      <c r="D4" s="8">
        <v>96</v>
      </c>
      <c r="E4" s="8">
        <v>19</v>
      </c>
      <c r="F4" s="8">
        <v>76</v>
      </c>
      <c r="G4" s="8">
        <v>55</v>
      </c>
      <c r="H4" s="8">
        <v>80</v>
      </c>
      <c r="I4" s="8">
        <v>52</v>
      </c>
      <c r="J4" s="8">
        <v>41</v>
      </c>
      <c r="K4" s="8">
        <v>11</v>
      </c>
      <c r="L4" s="8">
        <v>91</v>
      </c>
      <c r="M4" s="8">
        <v>85</v>
      </c>
      <c r="N4" s="8">
        <v>62</v>
      </c>
      <c r="O4" s="8">
        <v>77</v>
      </c>
      <c r="P4" s="8">
        <v>61</v>
      </c>
      <c r="Q4" s="8">
        <v>29</v>
      </c>
      <c r="R4" s="8">
        <v>76</v>
      </c>
      <c r="S4" s="8">
        <v>17</v>
      </c>
      <c r="T4" s="8">
        <v>46</v>
      </c>
      <c r="U4" s="8">
        <v>42</v>
      </c>
      <c r="V4" s="8">
        <v>31</v>
      </c>
      <c r="W4" s="8">
        <v>78</v>
      </c>
      <c r="X4" s="8">
        <v>90</v>
      </c>
      <c r="Y4" s="8">
        <v>98</v>
      </c>
      <c r="Z4" s="8">
        <v>23</v>
      </c>
    </row>
    <row r="5" spans="1:77" x14ac:dyDescent="0.25">
      <c r="A5" s="2"/>
      <c r="B5" s="11" t="s">
        <v>34</v>
      </c>
      <c r="D5" s="7"/>
      <c r="AB5" s="11" t="s">
        <v>62</v>
      </c>
      <c r="AC5" s="11" t="s">
        <v>35</v>
      </c>
    </row>
    <row r="6" spans="1:77" x14ac:dyDescent="0.25">
      <c r="A6" s="11" t="s">
        <v>454</v>
      </c>
      <c r="B6" s="13">
        <v>80</v>
      </c>
      <c r="C6" s="2">
        <v>50</v>
      </c>
      <c r="D6" s="2">
        <v>83</v>
      </c>
      <c r="E6" s="2">
        <v>11</v>
      </c>
      <c r="F6" s="2">
        <v>71</v>
      </c>
      <c r="G6" s="2">
        <v>13</v>
      </c>
      <c r="H6" s="2">
        <v>50</v>
      </c>
      <c r="I6" s="2">
        <v>52</v>
      </c>
      <c r="J6" s="2">
        <v>68</v>
      </c>
      <c r="K6" s="2">
        <v>63</v>
      </c>
      <c r="L6" s="2">
        <v>65</v>
      </c>
      <c r="M6" s="2">
        <v>98</v>
      </c>
      <c r="N6" s="2">
        <v>23</v>
      </c>
      <c r="O6" s="2">
        <v>39</v>
      </c>
      <c r="P6" s="2">
        <v>55</v>
      </c>
      <c r="Q6" s="2">
        <v>78</v>
      </c>
      <c r="R6" s="2">
        <v>78</v>
      </c>
      <c r="S6" s="2">
        <v>91</v>
      </c>
      <c r="T6" s="2">
        <v>31</v>
      </c>
      <c r="U6" s="2">
        <v>90</v>
      </c>
      <c r="V6" s="2">
        <v>64</v>
      </c>
      <c r="W6" s="2">
        <v>74</v>
      </c>
      <c r="X6" s="2">
        <v>53</v>
      </c>
      <c r="Y6" s="2">
        <v>19</v>
      </c>
      <c r="Z6" s="2">
        <v>53</v>
      </c>
      <c r="AA6" s="12" t="s">
        <v>30</v>
      </c>
      <c r="AB6" s="2">
        <f>SUMPRODUCT(B3:Z3,B6:Z6)</f>
        <v>0</v>
      </c>
      <c r="AC6" s="2">
        <v>726</v>
      </c>
    </row>
    <row r="7" spans="1:77" x14ac:dyDescent="0.25">
      <c r="A7" s="11" t="s">
        <v>455</v>
      </c>
      <c r="B7" s="13">
        <v>72</v>
      </c>
      <c r="C7" s="2">
        <v>99</v>
      </c>
      <c r="D7" s="2">
        <v>10</v>
      </c>
      <c r="E7" s="2">
        <v>11</v>
      </c>
      <c r="F7" s="2">
        <v>77</v>
      </c>
      <c r="G7" s="2">
        <v>69</v>
      </c>
      <c r="H7" s="2">
        <v>42</v>
      </c>
      <c r="I7" s="2">
        <v>14</v>
      </c>
      <c r="J7" s="2">
        <v>96</v>
      </c>
      <c r="K7" s="2">
        <v>54</v>
      </c>
      <c r="L7" s="2">
        <v>23</v>
      </c>
      <c r="M7" s="2">
        <v>38</v>
      </c>
      <c r="N7" s="2">
        <v>90</v>
      </c>
      <c r="O7" s="2">
        <v>47</v>
      </c>
      <c r="P7" s="2">
        <v>32</v>
      </c>
      <c r="Q7" s="2">
        <v>18</v>
      </c>
      <c r="R7" s="2">
        <v>29</v>
      </c>
      <c r="S7" s="2">
        <v>16</v>
      </c>
      <c r="T7" s="2">
        <v>29</v>
      </c>
      <c r="U7" s="2">
        <v>48</v>
      </c>
      <c r="V7" s="2">
        <v>22</v>
      </c>
      <c r="W7" s="2">
        <v>41</v>
      </c>
      <c r="X7" s="2">
        <v>37</v>
      </c>
      <c r="Y7" s="2">
        <v>48</v>
      </c>
      <c r="Z7" s="2">
        <v>77</v>
      </c>
      <c r="AA7" s="12" t="s">
        <v>30</v>
      </c>
      <c r="AB7" s="2">
        <f>SUMPRODUCT(B3:Z3,B7:Z7)</f>
        <v>0</v>
      </c>
      <c r="AC7" s="2">
        <v>569</v>
      </c>
    </row>
    <row r="8" spans="1:77" x14ac:dyDescent="0.25">
      <c r="A8" s="11" t="s">
        <v>456</v>
      </c>
      <c r="B8" s="13">
        <v>37</v>
      </c>
      <c r="C8" s="2">
        <v>10</v>
      </c>
      <c r="D8" s="2">
        <v>75</v>
      </c>
      <c r="E8" s="2">
        <v>97</v>
      </c>
      <c r="F8" s="2">
        <v>12</v>
      </c>
      <c r="G8" s="2">
        <v>32</v>
      </c>
      <c r="H8" s="2">
        <v>65</v>
      </c>
      <c r="I8" s="2">
        <v>45</v>
      </c>
      <c r="J8" s="2">
        <v>41</v>
      </c>
      <c r="K8" s="2">
        <v>94</v>
      </c>
      <c r="L8" s="2">
        <v>64</v>
      </c>
      <c r="M8" s="2">
        <v>53</v>
      </c>
      <c r="N8" s="2">
        <v>79</v>
      </c>
      <c r="O8" s="2">
        <v>25</v>
      </c>
      <c r="P8" s="2">
        <v>47</v>
      </c>
      <c r="Q8" s="2">
        <v>82</v>
      </c>
      <c r="R8" s="2">
        <v>74</v>
      </c>
      <c r="S8" s="2">
        <v>71</v>
      </c>
      <c r="T8" s="2">
        <v>48</v>
      </c>
      <c r="U8" s="2">
        <v>67</v>
      </c>
      <c r="V8" s="2">
        <v>54</v>
      </c>
      <c r="W8" s="2">
        <v>72</v>
      </c>
      <c r="X8" s="2">
        <v>48</v>
      </c>
      <c r="Y8" s="2">
        <v>10</v>
      </c>
      <c r="Z8" s="2">
        <v>19</v>
      </c>
      <c r="AA8" s="12" t="s">
        <v>30</v>
      </c>
      <c r="AB8" s="2">
        <f>SUMPRODUCT(B3:Z3,B8:Z8)</f>
        <v>0</v>
      </c>
      <c r="AC8" s="2">
        <v>660</v>
      </c>
    </row>
    <row r="9" spans="1:77" x14ac:dyDescent="0.25">
      <c r="A9" s="11" t="s">
        <v>457</v>
      </c>
      <c r="B9" s="13">
        <v>39</v>
      </c>
      <c r="C9" s="2">
        <v>76</v>
      </c>
      <c r="D9" s="2">
        <v>24</v>
      </c>
      <c r="E9" s="2">
        <v>92</v>
      </c>
      <c r="F9" s="2">
        <v>71</v>
      </c>
      <c r="G9" s="2">
        <v>53</v>
      </c>
      <c r="H9" s="2">
        <v>12</v>
      </c>
      <c r="I9" s="2">
        <v>28</v>
      </c>
      <c r="J9" s="2">
        <v>31</v>
      </c>
      <c r="K9" s="2">
        <v>92</v>
      </c>
      <c r="L9" s="2">
        <v>78</v>
      </c>
      <c r="M9" s="2">
        <v>25</v>
      </c>
      <c r="N9" s="2">
        <v>66</v>
      </c>
      <c r="O9" s="2">
        <v>13</v>
      </c>
      <c r="P9" s="2">
        <v>78</v>
      </c>
      <c r="Q9" s="2">
        <v>69</v>
      </c>
      <c r="R9" s="2">
        <v>98</v>
      </c>
      <c r="S9" s="2">
        <v>11</v>
      </c>
      <c r="T9" s="2">
        <v>51</v>
      </c>
      <c r="U9" s="2">
        <v>77</v>
      </c>
      <c r="V9" s="2">
        <v>37</v>
      </c>
      <c r="W9" s="2">
        <v>99</v>
      </c>
      <c r="X9" s="2">
        <v>33</v>
      </c>
      <c r="Y9" s="2">
        <v>38</v>
      </c>
      <c r="Z9" s="2">
        <v>91</v>
      </c>
      <c r="AA9" s="12" t="s">
        <v>458</v>
      </c>
      <c r="AB9" s="2">
        <f>SUMPRODUCT(B3:Z3,B9:Z9)</f>
        <v>0</v>
      </c>
      <c r="AC9" s="2">
        <v>1146</v>
      </c>
    </row>
    <row r="10" spans="1:77" ht="15.75" thickBot="1" x14ac:dyDescent="0.3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C10" s="7"/>
    </row>
    <row r="11" spans="1:77" ht="15.75" thickBot="1" x14ac:dyDescent="0.3">
      <c r="A11" s="19" t="s">
        <v>69</v>
      </c>
      <c r="B11"/>
    </row>
    <row r="12" spans="1:77" x14ac:dyDescent="0.25">
      <c r="A12">
        <f>SUMPRODUCT(B3:Z3,B4:Z4)</f>
        <v>0</v>
      </c>
      <c r="B12" s="14" t="s">
        <v>36</v>
      </c>
      <c r="C12" s="14" t="s">
        <v>32</v>
      </c>
      <c r="D12" s="14" t="s">
        <v>37</v>
      </c>
      <c r="E12" s="14" t="s">
        <v>1</v>
      </c>
      <c r="F12" s="14" t="s">
        <v>2</v>
      </c>
      <c r="G12" s="14" t="s">
        <v>3</v>
      </c>
      <c r="H12" s="14" t="s">
        <v>4</v>
      </c>
      <c r="I12" s="14" t="s">
        <v>5</v>
      </c>
      <c r="J12" s="14" t="s">
        <v>6</v>
      </c>
      <c r="K12" s="14" t="s">
        <v>7</v>
      </c>
      <c r="L12" s="14" t="s">
        <v>8</v>
      </c>
      <c r="M12" s="14" t="s">
        <v>9</v>
      </c>
      <c r="N12" s="14" t="s">
        <v>10</v>
      </c>
      <c r="O12" s="14" t="s">
        <v>11</v>
      </c>
      <c r="P12" s="14" t="s">
        <v>12</v>
      </c>
      <c r="Q12" s="14" t="s">
        <v>13</v>
      </c>
      <c r="R12" s="14" t="s">
        <v>14</v>
      </c>
      <c r="S12" s="14" t="s">
        <v>15</v>
      </c>
      <c r="T12" s="14" t="s">
        <v>16</v>
      </c>
      <c r="U12" s="14" t="s">
        <v>17</v>
      </c>
      <c r="V12" s="14" t="s">
        <v>18</v>
      </c>
      <c r="W12" s="14" t="s">
        <v>19</v>
      </c>
      <c r="X12" s="14" t="s">
        <v>20</v>
      </c>
      <c r="Y12" s="14" t="s">
        <v>21</v>
      </c>
      <c r="Z12" s="14" t="s">
        <v>22</v>
      </c>
      <c r="AA12" s="14" t="s">
        <v>23</v>
      </c>
      <c r="AB12" s="14" t="s">
        <v>24</v>
      </c>
      <c r="AC12" s="14" t="s">
        <v>25</v>
      </c>
    </row>
    <row r="13" spans="1:77" x14ac:dyDescent="0.25">
      <c r="A13" s="14">
        <v>1</v>
      </c>
      <c r="B13" s="15">
        <v>0</v>
      </c>
      <c r="C13" s="2">
        <v>1603</v>
      </c>
      <c r="D13" s="16" t="s">
        <v>38</v>
      </c>
      <c r="E13" s="2">
        <v>0</v>
      </c>
      <c r="F13" s="2">
        <v>0</v>
      </c>
      <c r="G13" s="2">
        <v>5</v>
      </c>
      <c r="H13" s="2">
        <v>0</v>
      </c>
      <c r="I13" s="2">
        <v>0</v>
      </c>
      <c r="J13" s="2">
        <v>0</v>
      </c>
      <c r="K13" s="2">
        <v>0</v>
      </c>
      <c r="L13" s="2">
        <v>1</v>
      </c>
      <c r="M13" s="2">
        <v>0</v>
      </c>
      <c r="N13" s="2">
        <v>0</v>
      </c>
      <c r="O13" s="2">
        <v>1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10</v>
      </c>
      <c r="AC13" s="2">
        <v>0</v>
      </c>
    </row>
    <row r="14" spans="1:77" x14ac:dyDescent="0.25">
      <c r="A14" s="14">
        <v>2</v>
      </c>
      <c r="B14" s="15">
        <v>607</v>
      </c>
      <c r="C14" s="2">
        <v>1575</v>
      </c>
      <c r="D14" s="16" t="s">
        <v>39</v>
      </c>
      <c r="E14" s="2">
        <v>0</v>
      </c>
      <c r="F14" s="2">
        <v>0</v>
      </c>
      <c r="G14" s="2">
        <v>6</v>
      </c>
      <c r="H14" s="2">
        <v>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10</v>
      </c>
      <c r="AC14" s="2">
        <v>0</v>
      </c>
    </row>
    <row r="15" spans="1:77" x14ac:dyDescent="0.25">
      <c r="A15" s="14">
        <v>3</v>
      </c>
      <c r="B15" s="15">
        <v>617</v>
      </c>
      <c r="C15" s="2">
        <v>1570</v>
      </c>
      <c r="D15" s="16" t="s">
        <v>40</v>
      </c>
      <c r="E15" s="2">
        <v>0</v>
      </c>
      <c r="F15" s="2">
        <v>0</v>
      </c>
      <c r="G15" s="2">
        <v>5</v>
      </c>
      <c r="H15" s="2">
        <v>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1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10</v>
      </c>
      <c r="AC15" s="2">
        <v>0</v>
      </c>
    </row>
    <row r="16" spans="1:77" x14ac:dyDescent="0.25">
      <c r="A16" s="14">
        <v>4</v>
      </c>
      <c r="B16" s="15">
        <v>671</v>
      </c>
      <c r="C16" s="2">
        <v>1547</v>
      </c>
      <c r="D16" s="16" t="s">
        <v>41</v>
      </c>
      <c r="E16" s="2">
        <v>0</v>
      </c>
      <c r="F16" s="2">
        <v>0</v>
      </c>
      <c r="G16" s="2">
        <v>3</v>
      </c>
      <c r="H16" s="2">
        <v>0</v>
      </c>
      <c r="I16" s="2">
        <v>0</v>
      </c>
      <c r="J16" s="2">
        <v>0</v>
      </c>
      <c r="K16" s="2">
        <v>0</v>
      </c>
      <c r="L16" s="2">
        <v>2</v>
      </c>
      <c r="M16" s="2">
        <v>0</v>
      </c>
      <c r="N16" s="2">
        <v>0</v>
      </c>
      <c r="O16" s="2">
        <v>3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9</v>
      </c>
      <c r="AC16" s="2">
        <v>0</v>
      </c>
    </row>
    <row r="17" spans="1:29" x14ac:dyDescent="0.25">
      <c r="A17" s="14">
        <v>5</v>
      </c>
      <c r="B17" s="15">
        <v>705</v>
      </c>
      <c r="C17" s="2">
        <v>1534</v>
      </c>
      <c r="D17" s="16" t="s">
        <v>42</v>
      </c>
      <c r="E17" s="2">
        <v>0</v>
      </c>
      <c r="F17" s="2">
        <v>0</v>
      </c>
      <c r="G17" s="2">
        <v>3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4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9</v>
      </c>
      <c r="AC17" s="2">
        <v>0</v>
      </c>
    </row>
    <row r="18" spans="1:29" x14ac:dyDescent="0.25">
      <c r="A18" s="14">
        <v>6</v>
      </c>
      <c r="B18" s="15">
        <v>727</v>
      </c>
      <c r="C18" s="2">
        <v>1529</v>
      </c>
      <c r="D18" s="16" t="s">
        <v>43</v>
      </c>
      <c r="E18" s="2">
        <v>0</v>
      </c>
      <c r="F18" s="2">
        <v>0</v>
      </c>
      <c r="G18" s="2">
        <v>2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9</v>
      </c>
      <c r="AC18" s="2">
        <v>0</v>
      </c>
    </row>
    <row r="19" spans="1:29" x14ac:dyDescent="0.25">
      <c r="A19" s="14">
        <v>7</v>
      </c>
      <c r="B19" s="15">
        <v>781</v>
      </c>
      <c r="C19" s="2">
        <v>1529</v>
      </c>
      <c r="D19" s="16" t="s">
        <v>44</v>
      </c>
      <c r="E19" s="2">
        <v>0</v>
      </c>
      <c r="F19" s="2">
        <v>0</v>
      </c>
      <c r="G19" s="2">
        <v>2</v>
      </c>
      <c r="H19" s="2">
        <v>0</v>
      </c>
      <c r="I19" s="2">
        <v>0</v>
      </c>
      <c r="J19" s="2">
        <v>0</v>
      </c>
      <c r="K19" s="2">
        <v>0</v>
      </c>
      <c r="L19" s="2">
        <v>1</v>
      </c>
      <c r="M19" s="2">
        <v>0</v>
      </c>
      <c r="N19" s="2">
        <v>0</v>
      </c>
      <c r="O19" s="2">
        <v>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</v>
      </c>
      <c r="X19" s="2">
        <v>0</v>
      </c>
      <c r="Y19" s="2">
        <v>0</v>
      </c>
      <c r="Z19" s="2">
        <v>0</v>
      </c>
      <c r="AA19" s="2">
        <v>0</v>
      </c>
      <c r="AB19" s="2">
        <v>8</v>
      </c>
      <c r="AC19" s="2">
        <v>0</v>
      </c>
    </row>
    <row r="20" spans="1:29" x14ac:dyDescent="0.25">
      <c r="A20" s="14">
        <v>8</v>
      </c>
      <c r="B20" s="15">
        <v>822</v>
      </c>
      <c r="C20" s="2">
        <v>1517</v>
      </c>
      <c r="D20" s="16" t="s">
        <v>45</v>
      </c>
      <c r="E20" s="2">
        <v>0</v>
      </c>
      <c r="F20" s="2">
        <v>0</v>
      </c>
      <c r="G20" s="2">
        <v>1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7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8</v>
      </c>
      <c r="AC20" s="2">
        <v>0</v>
      </c>
    </row>
    <row r="21" spans="1:29" x14ac:dyDescent="0.25">
      <c r="A21" s="14">
        <v>9</v>
      </c>
      <c r="B21" s="15">
        <v>875</v>
      </c>
      <c r="C21" s="2">
        <v>1512</v>
      </c>
      <c r="D21" s="16" t="s">
        <v>46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8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8</v>
      </c>
      <c r="AC21" s="2">
        <v>0</v>
      </c>
    </row>
    <row r="22" spans="1:29" x14ac:dyDescent="0.25">
      <c r="A22" s="14">
        <v>10</v>
      </c>
      <c r="B22" s="15">
        <v>929</v>
      </c>
      <c r="C22" s="2">
        <v>1505</v>
      </c>
      <c r="D22" s="16" t="s">
        <v>47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9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7</v>
      </c>
      <c r="AC22" s="2">
        <v>0</v>
      </c>
    </row>
    <row r="23" spans="1:29" x14ac:dyDescent="0.25">
      <c r="A23" s="14">
        <v>11</v>
      </c>
      <c r="B23" s="15">
        <v>969</v>
      </c>
      <c r="C23" s="2">
        <v>1460</v>
      </c>
      <c r="D23" s="16" t="s">
        <v>48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7</v>
      </c>
      <c r="P23" s="2">
        <v>0</v>
      </c>
      <c r="Q23" s="2">
        <v>0</v>
      </c>
      <c r="R23" s="2">
        <v>0</v>
      </c>
      <c r="S23" s="2">
        <v>1</v>
      </c>
      <c r="T23" s="2">
        <v>0</v>
      </c>
      <c r="U23" s="2">
        <v>1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7</v>
      </c>
      <c r="AC23" s="2">
        <v>0</v>
      </c>
    </row>
    <row r="24" spans="1:29" x14ac:dyDescent="0.25">
      <c r="A24" s="14">
        <v>12</v>
      </c>
      <c r="B24" s="15">
        <v>989</v>
      </c>
      <c r="C24" s="2">
        <v>1415</v>
      </c>
      <c r="D24" s="16" t="s">
        <v>49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3</v>
      </c>
      <c r="V24" s="2">
        <v>0</v>
      </c>
      <c r="W24" s="2">
        <v>1</v>
      </c>
      <c r="X24" s="2">
        <v>0</v>
      </c>
      <c r="Y24" s="2">
        <v>0</v>
      </c>
      <c r="Z24" s="2">
        <v>0</v>
      </c>
      <c r="AA24" s="2">
        <v>0</v>
      </c>
      <c r="AB24" s="2">
        <v>7</v>
      </c>
      <c r="AC24" s="2">
        <v>0</v>
      </c>
    </row>
    <row r="25" spans="1:29" x14ac:dyDescent="0.25">
      <c r="A25" s="14">
        <v>13</v>
      </c>
      <c r="B25" s="15">
        <v>1002</v>
      </c>
      <c r="C25" s="2">
        <v>1380</v>
      </c>
      <c r="D25" s="16" t="s">
        <v>50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6</v>
      </c>
      <c r="P25" s="2">
        <v>0</v>
      </c>
      <c r="Q25" s="2">
        <v>0</v>
      </c>
      <c r="R25" s="2">
        <v>0</v>
      </c>
      <c r="S25" s="2">
        <v>2</v>
      </c>
      <c r="T25" s="2">
        <v>0</v>
      </c>
      <c r="U25" s="2">
        <v>0</v>
      </c>
      <c r="V25" s="2">
        <v>0</v>
      </c>
      <c r="W25" s="2">
        <v>1</v>
      </c>
      <c r="X25" s="2">
        <v>0</v>
      </c>
      <c r="Y25" s="2">
        <v>0</v>
      </c>
      <c r="Z25" s="2">
        <v>1</v>
      </c>
      <c r="AA25" s="2">
        <v>0</v>
      </c>
      <c r="AB25" s="2">
        <v>6</v>
      </c>
      <c r="AC25" s="2">
        <v>0</v>
      </c>
    </row>
    <row r="26" spans="1:29" x14ac:dyDescent="0.25">
      <c r="A26" s="14">
        <v>14</v>
      </c>
      <c r="B26" s="15">
        <v>1003</v>
      </c>
      <c r="C26" s="2">
        <v>1378</v>
      </c>
      <c r="D26" s="16" t="s">
        <v>51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6</v>
      </c>
      <c r="P26" s="2">
        <v>0</v>
      </c>
      <c r="Q26" s="2">
        <v>0</v>
      </c>
      <c r="R26" s="2">
        <v>0</v>
      </c>
      <c r="S26" s="2">
        <v>4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6</v>
      </c>
      <c r="AC26" s="2">
        <v>0</v>
      </c>
    </row>
    <row r="27" spans="1:29" x14ac:dyDescent="0.25">
      <c r="A27" s="14">
        <v>15</v>
      </c>
      <c r="B27" s="15">
        <v>1009</v>
      </c>
      <c r="C27" s="2">
        <v>1333</v>
      </c>
      <c r="D27" s="16" t="s">
        <v>52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4</v>
      </c>
      <c r="P27" s="2">
        <v>0</v>
      </c>
      <c r="Q27" s="2">
        <v>0</v>
      </c>
      <c r="R27" s="2">
        <v>0</v>
      </c>
      <c r="S27" s="2">
        <v>3</v>
      </c>
      <c r="T27" s="2">
        <v>0</v>
      </c>
      <c r="U27" s="2">
        <v>2</v>
      </c>
      <c r="V27" s="2">
        <v>0</v>
      </c>
      <c r="W27" s="2">
        <v>1</v>
      </c>
      <c r="X27" s="2">
        <v>0</v>
      </c>
      <c r="Y27" s="2">
        <v>0</v>
      </c>
      <c r="Z27" s="2">
        <v>0</v>
      </c>
      <c r="AA27" s="2">
        <v>0</v>
      </c>
      <c r="AB27" s="2">
        <v>6</v>
      </c>
      <c r="AC27" s="2">
        <v>0</v>
      </c>
    </row>
    <row r="28" spans="1:29" x14ac:dyDescent="0.25">
      <c r="A28" s="14">
        <v>16</v>
      </c>
      <c r="B28" s="15">
        <v>1022</v>
      </c>
      <c r="C28" s="2">
        <v>1276</v>
      </c>
      <c r="D28" s="16" t="s">
        <v>53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4</v>
      </c>
      <c r="P28" s="2">
        <v>0</v>
      </c>
      <c r="Q28" s="2">
        <v>0</v>
      </c>
      <c r="R28" s="2">
        <v>0</v>
      </c>
      <c r="S28" s="2">
        <v>5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6</v>
      </c>
      <c r="AC28" s="2">
        <v>0</v>
      </c>
    </row>
    <row r="29" spans="1:29" x14ac:dyDescent="0.25">
      <c r="A29" s="14">
        <v>17</v>
      </c>
      <c r="B29" s="15">
        <v>1023</v>
      </c>
      <c r="C29" s="2">
        <v>1263</v>
      </c>
      <c r="D29" s="16" t="s">
        <v>54</v>
      </c>
      <c r="E29" s="2">
        <v>0</v>
      </c>
      <c r="F29" s="2">
        <v>0</v>
      </c>
      <c r="G29" s="2">
        <v>0</v>
      </c>
      <c r="H29" s="2">
        <v>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3</v>
      </c>
      <c r="P29" s="2">
        <v>0</v>
      </c>
      <c r="Q29" s="2">
        <v>0</v>
      </c>
      <c r="R29" s="2">
        <v>0</v>
      </c>
      <c r="S29" s="2">
        <v>5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1</v>
      </c>
      <c r="AA29" s="2">
        <v>0</v>
      </c>
      <c r="AB29" s="2">
        <v>6</v>
      </c>
      <c r="AC29" s="2">
        <v>0</v>
      </c>
    </row>
    <row r="30" spans="1:29" x14ac:dyDescent="0.25">
      <c r="A30" s="14">
        <v>18</v>
      </c>
      <c r="B30" s="15">
        <v>1044</v>
      </c>
      <c r="C30" s="2">
        <v>1179</v>
      </c>
      <c r="D30" s="16" t="s">
        <v>55</v>
      </c>
      <c r="E30" s="2">
        <v>0</v>
      </c>
      <c r="F30" s="2">
        <v>0</v>
      </c>
      <c r="G30" s="2">
        <v>0</v>
      </c>
      <c r="H30" s="2">
        <v>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2</v>
      </c>
      <c r="P30" s="2">
        <v>0</v>
      </c>
      <c r="Q30" s="2">
        <v>0</v>
      </c>
      <c r="R30" s="2">
        <v>0</v>
      </c>
      <c r="S30" s="2">
        <v>8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5</v>
      </c>
      <c r="AC30" s="2">
        <v>0</v>
      </c>
    </row>
    <row r="31" spans="1:29" x14ac:dyDescent="0.25">
      <c r="A31" s="14">
        <v>19</v>
      </c>
      <c r="B31" s="15">
        <v>1063</v>
      </c>
      <c r="C31" s="2">
        <v>1134</v>
      </c>
      <c r="D31" s="16" t="s">
        <v>56</v>
      </c>
      <c r="E31" s="2">
        <v>0</v>
      </c>
      <c r="F31" s="2">
        <v>0</v>
      </c>
      <c r="G31" s="2">
        <v>0</v>
      </c>
      <c r="H31" s="2">
        <v>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9</v>
      </c>
      <c r="T31" s="2">
        <v>0</v>
      </c>
      <c r="U31" s="2">
        <v>1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5</v>
      </c>
      <c r="AC31" s="2">
        <v>0</v>
      </c>
    </row>
    <row r="32" spans="1:29" x14ac:dyDescent="0.25">
      <c r="A32" s="14">
        <v>20</v>
      </c>
      <c r="B32" s="15">
        <v>1083</v>
      </c>
      <c r="C32" s="2">
        <v>1082</v>
      </c>
      <c r="D32" s="16" t="s">
        <v>57</v>
      </c>
      <c r="E32" s="2">
        <v>0</v>
      </c>
      <c r="F32" s="2">
        <v>0</v>
      </c>
      <c r="G32" s="2">
        <v>0</v>
      </c>
      <c r="H32" s="2">
        <v>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11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4</v>
      </c>
      <c r="AC32" s="2">
        <v>0</v>
      </c>
    </row>
    <row r="33" spans="1:29" x14ac:dyDescent="0.25">
      <c r="A33" s="14">
        <v>21</v>
      </c>
      <c r="B33" s="15">
        <v>1103</v>
      </c>
      <c r="C33" s="2">
        <v>931</v>
      </c>
      <c r="D33" s="16" t="s">
        <v>58</v>
      </c>
      <c r="E33" s="2">
        <v>0</v>
      </c>
      <c r="F33" s="2">
        <v>0</v>
      </c>
      <c r="G33" s="2">
        <v>0</v>
      </c>
      <c r="H33" s="2">
        <v>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2</v>
      </c>
      <c r="P33" s="2">
        <v>0</v>
      </c>
      <c r="Q33" s="2">
        <v>0</v>
      </c>
      <c r="R33" s="2">
        <v>0</v>
      </c>
      <c r="S33" s="2">
        <v>8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2</v>
      </c>
      <c r="AC33" s="2">
        <v>2</v>
      </c>
    </row>
    <row r="34" spans="1:29" x14ac:dyDescent="0.25">
      <c r="A34" s="14">
        <v>22</v>
      </c>
      <c r="B34" s="15">
        <v>1131</v>
      </c>
      <c r="C34" s="2">
        <v>736</v>
      </c>
      <c r="D34" s="16" t="s">
        <v>59</v>
      </c>
      <c r="E34" s="2">
        <v>0</v>
      </c>
      <c r="F34" s="2">
        <v>0</v>
      </c>
      <c r="G34" s="2">
        <v>0</v>
      </c>
      <c r="H34" s="2">
        <v>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11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2</v>
      </c>
    </row>
    <row r="35" spans="1:29" x14ac:dyDescent="0.25">
      <c r="A35" s="14">
        <v>23</v>
      </c>
      <c r="B35" s="15">
        <v>1133</v>
      </c>
      <c r="C35" s="2">
        <v>700</v>
      </c>
      <c r="D35" s="16" t="s">
        <v>60</v>
      </c>
      <c r="E35" s="2">
        <v>0</v>
      </c>
      <c r="F35" s="2">
        <v>0</v>
      </c>
      <c r="G35" s="2">
        <v>0</v>
      </c>
      <c r="H35" s="2">
        <v>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8</v>
      </c>
      <c r="T35" s="2">
        <v>0</v>
      </c>
      <c r="U35" s="2">
        <v>0</v>
      </c>
      <c r="V35" s="2">
        <v>0</v>
      </c>
      <c r="W35" s="2">
        <v>1</v>
      </c>
      <c r="X35" s="2">
        <v>0</v>
      </c>
      <c r="Y35" s="2">
        <v>0</v>
      </c>
      <c r="Z35" s="2">
        <v>1</v>
      </c>
      <c r="AA35" s="2">
        <v>0</v>
      </c>
      <c r="AB35" s="2">
        <v>0</v>
      </c>
      <c r="AC35" s="2">
        <v>3</v>
      </c>
    </row>
    <row r="36" spans="1:29" x14ac:dyDescent="0.25">
      <c r="A36" s="14">
        <v>24</v>
      </c>
      <c r="B36" s="15">
        <v>1140</v>
      </c>
      <c r="C36" s="2">
        <v>698</v>
      </c>
      <c r="D36" s="16" t="s">
        <v>61</v>
      </c>
      <c r="E36" s="2">
        <v>0</v>
      </c>
      <c r="F36" s="2">
        <v>0</v>
      </c>
      <c r="G36" s="2">
        <v>0</v>
      </c>
      <c r="H36" s="2">
        <v>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10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3</v>
      </c>
    </row>
    <row r="37" spans="1:29" x14ac:dyDescent="0.25">
      <c r="A37" s="14">
        <v>25</v>
      </c>
      <c r="B37" s="15"/>
      <c r="C37" s="2"/>
      <c r="D37" s="16" t="s">
        <v>63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</row>
    <row r="38" spans="1:29" x14ac:dyDescent="0.25">
      <c r="A38" s="14">
        <v>26</v>
      </c>
      <c r="B38" s="15"/>
      <c r="C38" s="2"/>
      <c r="D38" s="16" t="s">
        <v>64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</row>
    <row r="39" spans="1:29" x14ac:dyDescent="0.25">
      <c r="A39" s="14">
        <v>27</v>
      </c>
      <c r="B39" s="15"/>
      <c r="C39" s="2"/>
      <c r="D39" s="16" t="s">
        <v>65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</row>
    <row r="40" spans="1:29" x14ac:dyDescent="0.25">
      <c r="A40" s="14">
        <v>28</v>
      </c>
      <c r="B40" s="15"/>
      <c r="C40" s="2"/>
      <c r="D40" s="16" t="s">
        <v>66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 x14ac:dyDescent="0.25">
      <c r="A41" s="14">
        <v>29</v>
      </c>
      <c r="B41" s="15"/>
      <c r="C41" s="2"/>
      <c r="D41" s="16" t="s">
        <v>67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 x14ac:dyDescent="0.25">
      <c r="A42" s="14">
        <v>30</v>
      </c>
      <c r="B42" s="15"/>
      <c r="C42" s="2"/>
      <c r="D42" s="16" t="s">
        <v>68</v>
      </c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x14ac:dyDescent="0.25">
      <c r="B43" s="9"/>
      <c r="D43" s="1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</row>
    <row r="44" spans="1:29" x14ac:dyDescent="0.25">
      <c r="B44" s="9"/>
      <c r="D44" s="1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</row>
    <row r="45" spans="1:29" x14ac:dyDescent="0.25">
      <c r="B45" s="9"/>
      <c r="D45" s="1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</row>
    <row r="46" spans="1:29" x14ac:dyDescent="0.25">
      <c r="B46" s="9"/>
      <c r="D46" s="1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</row>
    <row r="47" spans="1:29" x14ac:dyDescent="0.25">
      <c r="B47" s="9"/>
      <c r="D47" s="1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</row>
    <row r="48" spans="1:29" x14ac:dyDescent="0.25">
      <c r="B48" s="9"/>
      <c r="D48" s="1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</row>
    <row r="49" spans="2:29" x14ac:dyDescent="0.25">
      <c r="B49" s="9"/>
      <c r="D49" s="1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</row>
    <row r="50" spans="2:29" x14ac:dyDescent="0.25">
      <c r="B50" s="9"/>
      <c r="D50" s="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spans="2:29" x14ac:dyDescent="0.25">
      <c r="B51" s="9"/>
      <c r="D51" s="1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</row>
    <row r="52" spans="2:29" x14ac:dyDescent="0.25">
      <c r="B52" s="9"/>
      <c r="D52" s="1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</row>
    <row r="53" spans="2:29" x14ac:dyDescent="0.25">
      <c r="B53" s="9"/>
      <c r="D53" s="1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</row>
    <row r="54" spans="2:29" x14ac:dyDescent="0.25">
      <c r="B54" s="9"/>
      <c r="D54" s="1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</row>
    <row r="55" spans="2:29" x14ac:dyDescent="0.25">
      <c r="B55" s="9"/>
      <c r="D55" s="1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</row>
    <row r="56" spans="2:29" x14ac:dyDescent="0.25">
      <c r="B56" s="9"/>
      <c r="D56" s="1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</row>
    <row r="57" spans="2:29" x14ac:dyDescent="0.25">
      <c r="B57" s="9"/>
      <c r="D57" s="1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</row>
    <row r="58" spans="2:29" x14ac:dyDescent="0.25">
      <c r="B58" s="9"/>
      <c r="D58" s="1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</row>
    <row r="59" spans="2:29" x14ac:dyDescent="0.25">
      <c r="B59" s="9"/>
      <c r="D59" s="1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</row>
    <row r="60" spans="2:29" x14ac:dyDescent="0.25">
      <c r="B60" s="9"/>
      <c r="D60" s="1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</row>
    <row r="61" spans="2:29" x14ac:dyDescent="0.25">
      <c r="B61" s="9"/>
      <c r="D61" s="1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</row>
    <row r="62" spans="2:29" x14ac:dyDescent="0.25">
      <c r="B62" s="9"/>
      <c r="D62" s="1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</row>
    <row r="63" spans="2:29" x14ac:dyDescent="0.25">
      <c r="B63" s="9"/>
      <c r="D63" s="1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</row>
    <row r="64" spans="2:29" x14ac:dyDescent="0.25">
      <c r="B64" s="9"/>
      <c r="D64" s="1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</row>
    <row r="65" spans="2:29" x14ac:dyDescent="0.25">
      <c r="B65" s="9"/>
      <c r="D65" s="1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</row>
    <row r="66" spans="2:29" x14ac:dyDescent="0.25">
      <c r="B66" s="9"/>
      <c r="D66" s="1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</row>
    <row r="67" spans="2:29" x14ac:dyDescent="0.25">
      <c r="B67" s="9"/>
      <c r="D67" s="1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</row>
    <row r="68" spans="2:29" x14ac:dyDescent="0.25">
      <c r="B68" s="9"/>
      <c r="D68" s="1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</row>
    <row r="69" spans="2:29" x14ac:dyDescent="0.25">
      <c r="B69" s="9"/>
      <c r="D69" s="1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</row>
    <row r="70" spans="2:29" x14ac:dyDescent="0.25">
      <c r="B70" s="9"/>
      <c r="D70" s="1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</row>
    <row r="71" spans="2:29" x14ac:dyDescent="0.25">
      <c r="B71" s="9"/>
      <c r="D71" s="1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</row>
    <row r="72" spans="2:29" x14ac:dyDescent="0.25">
      <c r="B72" s="9"/>
      <c r="D72" s="1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</row>
    <row r="73" spans="2:29" x14ac:dyDescent="0.25">
      <c r="B73" s="9"/>
      <c r="D73" s="1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</row>
    <row r="74" spans="2:29" x14ac:dyDescent="0.25">
      <c r="B74" s="9"/>
      <c r="D74" s="1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</row>
    <row r="75" spans="2:29" x14ac:dyDescent="0.25">
      <c r="B75" s="9"/>
      <c r="D75" s="1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</row>
    <row r="76" spans="2:29" x14ac:dyDescent="0.25">
      <c r="B76" s="9"/>
      <c r="D76" s="1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</row>
    <row r="77" spans="2:29" x14ac:dyDescent="0.25">
      <c r="B77" s="9"/>
      <c r="D77" s="1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</row>
    <row r="78" spans="2:29" x14ac:dyDescent="0.25">
      <c r="B78" s="9"/>
      <c r="D78" s="1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</row>
    <row r="79" spans="2:29" x14ac:dyDescent="0.25">
      <c r="B79" s="9"/>
      <c r="D79" s="1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</row>
    <row r="80" spans="2:29" x14ac:dyDescent="0.25">
      <c r="B80" s="9"/>
      <c r="D80" s="1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</row>
    <row r="81" spans="2:29" x14ac:dyDescent="0.25">
      <c r="B81" s="9"/>
      <c r="D81" s="1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</row>
    <row r="82" spans="2:29" x14ac:dyDescent="0.25">
      <c r="B82" s="9"/>
      <c r="D82" s="1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</row>
    <row r="83" spans="2:29" x14ac:dyDescent="0.25">
      <c r="B83" s="9"/>
      <c r="D83" s="1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</row>
    <row r="84" spans="2:29" x14ac:dyDescent="0.25">
      <c r="B84" s="9"/>
      <c r="D84" s="1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</row>
    <row r="85" spans="2:29" x14ac:dyDescent="0.25">
      <c r="B85" s="9"/>
      <c r="D85" s="1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</row>
    <row r="86" spans="2:29" x14ac:dyDescent="0.25">
      <c r="B86" s="9"/>
      <c r="D86" s="1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</row>
    <row r="87" spans="2:29" x14ac:dyDescent="0.25">
      <c r="B87" s="9"/>
      <c r="D87" s="1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</row>
    <row r="88" spans="2:29" x14ac:dyDescent="0.25">
      <c r="B88" s="9"/>
      <c r="D88" s="1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</row>
    <row r="89" spans="2:29" x14ac:dyDescent="0.25">
      <c r="B89" s="9"/>
      <c r="D89" s="1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</row>
    <row r="90" spans="2:29" x14ac:dyDescent="0.25">
      <c r="B90" s="9"/>
      <c r="D90" s="1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</row>
    <row r="91" spans="2:29" x14ac:dyDescent="0.25">
      <c r="B91" s="9"/>
      <c r="D91" s="1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</row>
    <row r="92" spans="2:29" x14ac:dyDescent="0.25">
      <c r="B92" s="9"/>
      <c r="D92" s="1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</row>
    <row r="93" spans="2:29" x14ac:dyDescent="0.25">
      <c r="B93" s="9"/>
      <c r="D93" s="1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</row>
    <row r="94" spans="2:29" x14ac:dyDescent="0.25">
      <c r="B94" s="9"/>
      <c r="D94" s="1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</row>
    <row r="95" spans="2:29" x14ac:dyDescent="0.25">
      <c r="B95" s="9"/>
      <c r="D95" s="1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</row>
    <row r="96" spans="2:29" x14ac:dyDescent="0.25">
      <c r="B96" s="9"/>
      <c r="D96" s="1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</row>
    <row r="97" spans="2:29" x14ac:dyDescent="0.25">
      <c r="B97" s="9"/>
      <c r="D97" s="1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</row>
    <row r="98" spans="2:29" x14ac:dyDescent="0.25"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17"/>
    </row>
    <row r="99" spans="2:29" x14ac:dyDescent="0.25"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17"/>
    </row>
    <row r="100" spans="2:29" x14ac:dyDescent="0.25"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17"/>
    </row>
    <row r="101" spans="2:29" x14ac:dyDescent="0.25"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17"/>
    </row>
    <row r="102" spans="2:29" x14ac:dyDescent="0.25"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 Info</vt:lpstr>
      <vt:lpstr>Sheet3</vt:lpstr>
      <vt:lpstr>Knapsack Problem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2018-04-07T11:25:49Z</dcterms:modified>
</cp:coreProperties>
</file>